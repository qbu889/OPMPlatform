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firstSheet="1" activeTab="1"/>
  </bookViews>
  <sheets>
    <sheet name="1. 填写说明" sheetId="5" r:id="rId1"/>
    <sheet name="2. 规模估算" sheetId="11" r:id="rId2"/>
    <sheet name="3. 调整因子" sheetId="9" r:id="rId3"/>
    <sheet name="4. 评估结果" sheetId="1" r:id="rId4"/>
  </sheets>
  <definedNames>
    <definedName name="_xlnm._FilterDatabase" localSheetId="1" hidden="1">'2. 规模估算'!$A$7:$L$124</definedName>
    <definedName name="_xlnm.Print_Area" localSheetId="2">'3. 调整因子'!$A$2:$E$91</definedName>
    <definedName name="_Toc260843610" localSheetId="1">'2. 规模估算'!#REF!</definedName>
    <definedName name="_Toc260843625" localSheetId="1">'2. 规模估算'!#REF!</definedName>
    <definedName name="_Toc392765432" localSheetId="1">'2. 规模估算'!#REF!</definedName>
    <definedName name="_Toc397109581" localSheetId="1">'2. 规模估算'!#REF!</definedName>
    <definedName name="_Toc397109586" localSheetId="1">'2. 规模估算'!#REF!</definedName>
    <definedName name="_Toc397109606" localSheetId="1">'2. 规模估算'!#REF!</definedName>
    <definedName name="_Toc397109619" localSheetId="1">'2. 规模估算'!#REF!</definedName>
    <definedName name="_Toc397109632" localSheetId="1">'2. 规模估算'!#REF!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Henry</author>
  </authors>
  <commentList>
    <comment ref="D7" authorId="0">
      <text>
        <r>
          <rPr>
            <b/>
            <sz val="9"/>
            <rFont val="宋体"/>
            <charset val="134"/>
          </rPr>
          <t>根据最新基准数据更新，一般采用上一年度发布数据（一般年底发布）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<sst xmlns="http://schemas.openxmlformats.org/spreadsheetml/2006/main" count="1097" uniqueCount="258">
  <si>
    <r>
      <rPr>
        <b/>
        <sz val="12"/>
        <color rgb="FFFF0000"/>
        <rFont val="宋体"/>
        <charset val="134"/>
        <scheme val="minor"/>
      </rPr>
      <t>模型填写顺序为：</t>
    </r>
    <r>
      <rPr>
        <sz val="12"/>
        <rFont val="宋体"/>
        <charset val="134"/>
        <scheme val="minor"/>
      </rPr>
      <t xml:space="preserve">
1、拆分功能点，填写《2.规模估算》。
2、调整因子参考《3.调整因子》进行取值。
3、自动计算评估结果，查看《4.评估结果》。</t>
    </r>
  </si>
  <si>
    <t>白色单元格</t>
  </si>
  <si>
    <t>计价评估时，只填写白色单元格</t>
  </si>
  <si>
    <t>深灰单元格</t>
  </si>
  <si>
    <t>模板格式部分，不得修改</t>
  </si>
  <si>
    <t>浅灰单元格</t>
  </si>
  <si>
    <t>模板参数部分，默认为国际标准推荐取值，各省可按直接使用，也可以按照实际情况适当调参，但修改必须经过省公司决策通过，并向总部报备</t>
  </si>
  <si>
    <t>绿色单元格</t>
  </si>
  <si>
    <t>自动计算或引用数据，不得修改</t>
  </si>
  <si>
    <t>1.规模估算表</t>
  </si>
  <si>
    <t>规模估算方法</t>
  </si>
  <si>
    <t>软件开发计价模型</t>
  </si>
  <si>
    <t>“软件开发计价模型”：7/5/4/5/4</t>
  </si>
  <si>
    <t>未调整功能点合计</t>
  </si>
  <si>
    <t>UFP,单位：FP</t>
  </si>
  <si>
    <t>调整后功能点合计</t>
  </si>
  <si>
    <t>AFP,单位：FP</t>
  </si>
  <si>
    <t>1. 本次计数在项目前期，需求未充分挖掘
2. 绿色单元格为被保护，不得擅自修改</t>
  </si>
  <si>
    <t>编号</t>
  </si>
  <si>
    <t>一级分类</t>
  </si>
  <si>
    <t>二级分类</t>
  </si>
  <si>
    <t>三级分类</t>
  </si>
  <si>
    <t>功能点名称</t>
  </si>
  <si>
    <t>功能点计数项</t>
  </si>
  <si>
    <t>类别</t>
  </si>
  <si>
    <t>UFP</t>
  </si>
  <si>
    <t>重用程度</t>
  </si>
  <si>
    <t>修改类型</t>
  </si>
  <si>
    <t>AFP</t>
  </si>
  <si>
    <t>备注</t>
  </si>
  <si>
    <t>填写
说明</t>
  </si>
  <si>
    <t>必填</t>
  </si>
  <si>
    <r>
      <rPr>
        <sz val="8"/>
        <color rgb="FFFF0000"/>
        <rFont val="宋体"/>
        <charset val="134"/>
        <scheme val="minor"/>
      </rPr>
      <t>请选择</t>
    </r>
    <r>
      <rPr>
        <sz val="8"/>
        <color theme="1"/>
        <rFont val="宋体"/>
        <charset val="134"/>
        <scheme val="minor"/>
      </rPr>
      <t>计价模型种类。</t>
    </r>
  </si>
  <si>
    <r>
      <rPr>
        <sz val="8"/>
        <color rgb="FFFF0000"/>
        <rFont val="宋体"/>
        <charset val="134"/>
        <scheme val="minor"/>
      </rPr>
      <t>自动计算</t>
    </r>
    <r>
      <rPr>
        <sz val="8"/>
        <color theme="1"/>
        <rFont val="宋体"/>
        <charset val="134"/>
        <scheme val="minor"/>
      </rPr>
      <t>未调整的功能点数量。</t>
    </r>
  </si>
  <si>
    <r>
      <rPr>
        <sz val="8"/>
        <color rgb="FFFF0000"/>
        <rFont val="宋体"/>
        <charset val="134"/>
        <scheme val="minor"/>
      </rPr>
      <t>请选择</t>
    </r>
    <r>
      <rPr>
        <sz val="8"/>
        <color theme="1"/>
        <rFont val="宋体"/>
        <charset val="134"/>
        <scheme val="minor"/>
      </rPr>
      <t>代码复用情况</t>
    </r>
  </si>
  <si>
    <r>
      <rPr>
        <sz val="8"/>
        <color rgb="FFFF0000"/>
        <rFont val="宋体"/>
        <charset val="134"/>
        <scheme val="minor"/>
      </rPr>
      <t>请选择</t>
    </r>
    <r>
      <rPr>
        <sz val="8"/>
        <color theme="1"/>
        <rFont val="宋体"/>
        <charset val="134"/>
        <scheme val="minor"/>
      </rPr>
      <t>代码修改情况</t>
    </r>
  </si>
  <si>
    <r>
      <rPr>
        <sz val="8"/>
        <color rgb="FFFF0000"/>
        <rFont val="宋体"/>
        <charset val="134"/>
        <scheme val="minor"/>
      </rPr>
      <t>自动计算</t>
    </r>
    <r>
      <rPr>
        <sz val="8"/>
        <color theme="1"/>
        <rFont val="宋体"/>
        <charset val="134"/>
        <scheme val="minor"/>
      </rPr>
      <t>调整后的功能点数量。</t>
    </r>
  </si>
  <si>
    <t>调整AFP：请通过重用程度、修改类型来改</t>
  </si>
  <si>
    <t>监控管理应用</t>
  </si>
  <si>
    <t>事件工单管理</t>
  </si>
  <si>
    <t>事件处理类工单流程</t>
  </si>
  <si>
    <t>地市拆单开关表</t>
  </si>
  <si>
    <t>ILF</t>
  </si>
  <si>
    <t>高</t>
  </si>
  <si>
    <t>新增</t>
  </si>
  <si>
    <t>新增分地市拆单开关动态设置</t>
  </si>
  <si>
    <t>EI</t>
  </si>
  <si>
    <t>删除分地市拆单开关动态设置</t>
  </si>
  <si>
    <t>修改分地市拆单开关动态设置</t>
  </si>
  <si>
    <t>查询分地市拆单开关动态设置</t>
  </si>
  <si>
    <t>EQ</t>
  </si>
  <si>
    <t>导入分地市拆单开关动态设置</t>
  </si>
  <si>
    <t>导出分地市拆单开关动态设置</t>
  </si>
  <si>
    <t>地市拆单编辑开关权限控制</t>
  </si>
  <si>
    <t>EO</t>
  </si>
  <si>
    <t>全开、全关批量操作</t>
  </si>
  <si>
    <t>地市+网络一级分类拆单权限判断</t>
  </si>
  <si>
    <t>关联子单无数据不拆单判定</t>
  </si>
  <si>
    <t>主单清除才能拆单判定</t>
  </si>
  <si>
    <t>拆单选择约束</t>
  </si>
  <si>
    <t>工单拆单原因自动填充判定</t>
  </si>
  <si>
    <t>中</t>
  </si>
  <si>
    <t>子单列表列表主单置顶</t>
  </si>
  <si>
    <t>拆单移除功能</t>
  </si>
  <si>
    <t>拆单主单设置校验</t>
  </si>
  <si>
    <t>主单信息数据表</t>
  </si>
  <si>
    <t>修改</t>
  </si>
  <si>
    <t>新主子单标签处理</t>
  </si>
  <si>
    <t>新主单主题“【拆】”标签处理</t>
  </si>
  <si>
    <t>拆单主单信息生成</t>
  </si>
  <si>
    <t>拆单流水记录表</t>
  </si>
  <si>
    <t>拆单流水记录维护</t>
  </si>
  <si>
    <t>原主单关联子单表</t>
  </si>
  <si>
    <t>拆单后原主单关联子单更新</t>
  </si>
  <si>
    <t>拆单关联类型为“合”标签处理</t>
  </si>
  <si>
    <t>拆单信息回传分级调</t>
  </si>
  <si>
    <t>原工单号详情跳转</t>
  </si>
  <si>
    <t>入遗留库申请业务质检条件判定</t>
  </si>
  <si>
    <t>分级调业务质检对接</t>
  </si>
  <si>
    <t>入遗留库申请</t>
  </si>
  <si>
    <t>移交触发勘误表</t>
  </si>
  <si>
    <t>T2移交T2触发勘误逻辑判定调整</t>
  </si>
  <si>
    <t>动环停电异常事件关联获取</t>
  </si>
  <si>
    <t>欠压异常事件关联获取</t>
  </si>
  <si>
    <t>高温异常事件关联获取</t>
  </si>
  <si>
    <t>FSU通信异常事件关联获取</t>
  </si>
  <si>
    <t>动环汇聚机房指标表</t>
  </si>
  <si>
    <t>动环汇聚机房指标对接</t>
  </si>
  <si>
    <t>否配备油机、机房续航情况、温度关联获取</t>
  </si>
  <si>
    <t>动环开关电源指标表</t>
  </si>
  <si>
    <t>动环开关电源指标对接</t>
  </si>
  <si>
    <t>电压电流情况关联获取</t>
  </si>
  <si>
    <t>动环三相电压表</t>
  </si>
  <si>
    <t>动环三相电压表对接</t>
  </si>
  <si>
    <t>三相电压关联获取</t>
  </si>
  <si>
    <t>动环定界定位信息拼接</t>
  </si>
  <si>
    <t>停电业务质检环节工单获取</t>
  </si>
  <si>
    <t>欠压业务质检环节工单获取</t>
  </si>
  <si>
    <t>动环停电和欠压业务质检判定</t>
  </si>
  <si>
    <t>动环高温业务质检温度判定</t>
  </si>
  <si>
    <t>动环模拟量查询数据表</t>
  </si>
  <si>
    <t>动环模拟量查询工具页面呈现</t>
  </si>
  <si>
    <t>动环业务质检结果呈现</t>
  </si>
  <si>
    <t>超量衍生工单识别</t>
  </si>
  <si>
    <t>超量衍生工单主题拼接</t>
  </si>
  <si>
    <t>超量工单事件流水号提取</t>
  </si>
  <si>
    <t>事件侧子事件数量表</t>
  </si>
  <si>
    <t>事件侧子事件数量对接</t>
  </si>
  <si>
    <t>超量工单实时值呈现</t>
  </si>
  <si>
    <t>超量工单子事件下钻</t>
  </si>
  <si>
    <t>入异常库规则表</t>
  </si>
  <si>
    <t>入异常库工单表</t>
  </si>
  <si>
    <t>新增入异常库动态设置</t>
  </si>
  <si>
    <t>修改入异常库规则开关动态设置</t>
  </si>
  <si>
    <t>入异常库规则查询</t>
  </si>
  <si>
    <t>网元名称解析地市、区县维护组</t>
  </si>
  <si>
    <t>无线省级维护组工单入异常库判断</t>
  </si>
  <si>
    <t>集客网元名称异常入异常库判断</t>
  </si>
  <si>
    <t>无线网省公司异常工单量统计</t>
  </si>
  <si>
    <t>异常工单量超限阈值表</t>
  </si>
  <si>
    <t>异常工单量超限阈值查询</t>
  </si>
  <si>
    <t>短信派发表</t>
  </si>
  <si>
    <t>异常工单量超限短信触发</t>
  </si>
  <si>
    <t>传输光功率告警剔除类型解析</t>
  </si>
  <si>
    <t>传输光功率业务质检优化</t>
  </si>
  <si>
    <t>工单短信内容模板表</t>
  </si>
  <si>
    <t>工单短信接单链接生成</t>
  </si>
  <si>
    <t>工单到达短信内容模板生成</t>
  </si>
  <si>
    <t>工单到达短信内容拼接变更</t>
  </si>
  <si>
    <t>工单受理短信对接</t>
  </si>
  <si>
    <t>工单受理短信解析</t>
  </si>
  <si>
    <t>短信接单自动受理逻辑处理</t>
  </si>
  <si>
    <t>事件工单APP自动受理成功提示</t>
  </si>
  <si>
    <t>工单总故障历时计算及呈现</t>
  </si>
  <si>
    <t>事件处理类工单流转信息12个环节受理时限计算及呈现</t>
  </si>
  <si>
    <t>低</t>
  </si>
  <si>
    <t>事件处理类工单流转信息12个环节处理时限计算及呈现</t>
  </si>
  <si>
    <t>通知类工单流转信息受理时限计算及呈现</t>
  </si>
  <si>
    <t>通知类工单流转信息处理时限计算及呈现</t>
  </si>
  <si>
    <t>勘误工单流转信息受理时限计算及呈现</t>
  </si>
  <si>
    <t>勘误工单流转信息处理时限计算及呈现</t>
  </si>
  <si>
    <t>遗留库工单流转信息受理时限计算及呈现</t>
  </si>
  <si>
    <t>遗留库工单流转信息处理时限计算及呈现</t>
  </si>
  <si>
    <t>工单关联关系表</t>
  </si>
  <si>
    <t>工单关联层级识别</t>
  </si>
  <si>
    <t>多级子单关联关系提取</t>
  </si>
  <si>
    <t>一级子单列表关联呈现</t>
  </si>
  <si>
    <t>处理单待办工单颜色标记时效判定</t>
  </si>
  <si>
    <t>处理单待办工单颜色标记呈现</t>
  </si>
  <si>
    <t>通知单待办工单颜色标记时效判定</t>
  </si>
  <si>
    <t>通知单待办工单颜色标记呈现</t>
  </si>
  <si>
    <t>勘误待办工单颜色标记时效判定</t>
  </si>
  <si>
    <t>勘误待办工单颜色标记呈现</t>
  </si>
  <si>
    <t>遗留库待办工单颜色标记时效判定</t>
  </si>
  <si>
    <t>遗留库待办工单颜色标记呈现</t>
  </si>
  <si>
    <t>在途工单管控报表表头固定</t>
  </si>
  <si>
    <t>总体管控视图报表表头固定</t>
  </si>
  <si>
    <t>不达标维护组报表报表表头固定</t>
  </si>
  <si>
    <t>延期管控视图报表表头固定</t>
  </si>
  <si>
    <t>代维报表报表表头固定</t>
  </si>
  <si>
    <t>勘误流程</t>
  </si>
  <si>
    <t>勘误工单表</t>
  </si>
  <si>
    <t>勘误单集客产品ID呈现</t>
  </si>
  <si>
    <t>相同根因网元勘误工单识别</t>
  </si>
  <si>
    <t>勘误工单处理时限超限判定</t>
  </si>
  <si>
    <t>新勘误工单生成</t>
  </si>
  <si>
    <t>2.调整因子列表</t>
  </si>
  <si>
    <t>规模计数时机</t>
  </si>
  <si>
    <t>估算中期</t>
  </si>
  <si>
    <t>应用类型</t>
  </si>
  <si>
    <t>业务处理</t>
  </si>
  <si>
    <t>质量特性</t>
  </si>
  <si>
    <t>分布式处理</t>
  </si>
  <si>
    <t>没有明示对分布式处理的需求事项</t>
  </si>
  <si>
    <t>性能</t>
  </si>
  <si>
    <t>没有明示对性能的特别需求事项或活动，因此提供基本性能</t>
  </si>
  <si>
    <t>可靠性</t>
  </si>
  <si>
    <t>没有明示对可靠性的特别需求事项或活动，因此提供基本的可靠性</t>
  </si>
  <si>
    <t>多重站点</t>
  </si>
  <si>
    <t>在相同用途的硬件或软件环境下运行</t>
  </si>
  <si>
    <t>开发语言</t>
  </si>
  <si>
    <t>JAVA、C++、C#及其他同级别语言/平台</t>
  </si>
  <si>
    <t>开发团队背景</t>
  </si>
  <si>
    <t>为本行业（政府）开发过类似的软件</t>
  </si>
  <si>
    <t>描述</t>
  </si>
  <si>
    <t>调整因子</t>
  </si>
  <si>
    <t>办公自动化系统：人事、会计、工资、销售等经营管理及业务处理用软件等</t>
  </si>
  <si>
    <t>应用集成</t>
  </si>
  <si>
    <t>企业服务总线、应用集成等</t>
  </si>
  <si>
    <t>科技</t>
  </si>
  <si>
    <t>科学计算、仿真、基于复杂算法的统计分析等</t>
  </si>
  <si>
    <t>多媒体</t>
  </si>
  <si>
    <t>图形、影像、声音等多媒体应用领域：地理信息系统：教育和娱乐等</t>
  </si>
  <si>
    <t>智能信息</t>
  </si>
  <si>
    <t>自然语言处理、大模型、计算机视觉、智能决策、专家系统等</t>
  </si>
  <si>
    <t>基础软件/支撑软件</t>
  </si>
  <si>
    <t>操作系统、数据库系统、集成开发环境、自动化开发/设计工具等</t>
  </si>
  <si>
    <t>通信控制</t>
  </si>
  <si>
    <t>通信协议、仿真、交换机软件、全球定位系统等</t>
  </si>
  <si>
    <t>流程控制</t>
  </si>
  <si>
    <t>实时系统控制、机器人控制、嵌入式软件等</t>
  </si>
  <si>
    <t>判断标准</t>
  </si>
  <si>
    <t>通过网络进行客户端/服务器及网络基础应用分布处理和传输</t>
  </si>
  <si>
    <t>在多个服务器及处理器上同时相互执行计算机系统中的处理功能</t>
  </si>
  <si>
    <t>应答时间或处理率对高峰时间或所有业务时间来说都很重要，对连动系统结束处理时间的限制</t>
  </si>
  <si>
    <t>为满足性能需求事项，要求设计阶段开始进行性能分析，或在设计、开发阶段使用分析工具</t>
  </si>
  <si>
    <t>发生故障时可轻易修复，带来一定不便或经济损失</t>
  </si>
  <si>
    <t>发生故障时很难复，发生重大经济损失或有生命危害</t>
  </si>
  <si>
    <t>在用途类似的硬件或软件环境下运行</t>
  </si>
  <si>
    <t>在不同用途的硬件或软件环境下运行</t>
  </si>
  <si>
    <t>规模变更调整因子(CF)</t>
  </si>
  <si>
    <t>估算早期</t>
  </si>
  <si>
    <t>概算、预算阶段</t>
  </si>
  <si>
    <t>投标、项目计划阶段</t>
  </si>
  <si>
    <t>估算晚期</t>
  </si>
  <si>
    <t>需求分析阶段</t>
  </si>
  <si>
    <t>项目完成</t>
  </si>
  <si>
    <t>项目交付后及运维阶段</t>
  </si>
  <si>
    <t>C及其他同级别语言/平台</t>
  </si>
  <si>
    <t>PowerBuilder、ASP及其他同级别语言/平台</t>
  </si>
  <si>
    <t>为其他行业开发过类似的软件，或为本行业（政府）开发过不同但相关的软件</t>
  </si>
  <si>
    <t>没有同类软件及本行业（政府）相关软件开发背景</t>
  </si>
  <si>
    <t>重用程度调整系数</t>
  </si>
  <si>
    <t>取值</t>
  </si>
  <si>
    <t>该功能在系统中有一样的功能模块反复出现，代码复用程度高</t>
  </si>
  <si>
    <t>该功能在系统中有一样的功能模块少量重复，代码复用程度中等</t>
  </si>
  <si>
    <t>该功能在系统中没有其它功能模块能够利旧，代码复用程度低</t>
  </si>
  <si>
    <t>修改类型调整系数</t>
  </si>
  <si>
    <t>本期项目新增的功能模块</t>
  </si>
  <si>
    <t>最新软件评估行业颁布的基准数据</t>
  </si>
  <si>
    <t>修改往期项目的功能模块</t>
  </si>
  <si>
    <t>删除</t>
  </si>
  <si>
    <t>删除往期项目的功能模块</t>
  </si>
  <si>
    <t>ILF为内部逻辑文件数量</t>
  </si>
  <si>
    <t>国标</t>
  </si>
  <si>
    <t>EIF</t>
  </si>
  <si>
    <t>EIF为外部接口文件数量</t>
  </si>
  <si>
    <t>EI为外部输入数量</t>
  </si>
  <si>
    <t>EO为外部输出数量</t>
  </si>
  <si>
    <t>EQ为外部查询数量</t>
  </si>
  <si>
    <t>3.评估结果表</t>
  </si>
  <si>
    <t>数值</t>
  </si>
  <si>
    <t>说明</t>
  </si>
  <si>
    <t>规模估算结果（单位：功能点）</t>
  </si>
  <si>
    <t>规模变更调整因子</t>
  </si>
  <si>
    <t>CF，项目阶段</t>
  </si>
  <si>
    <t>调整后规模（单位：功能点）</t>
  </si>
  <si>
    <t>S，等于AFP*CF</t>
  </si>
  <si>
    <t>基准生产率（单位：人时/功能点）</t>
  </si>
  <si>
    <t>PDR，来自《2024年软件行业基准数据》</t>
  </si>
  <si>
    <t>未调整工作量（单位：人天）</t>
  </si>
  <si>
    <t>S*PDR/8h</t>
  </si>
  <si>
    <t>A,应用类型调整因子</t>
  </si>
  <si>
    <t>B,质量特性调整因子</t>
  </si>
  <si>
    <t>C,开发语言调整因子</t>
  </si>
  <si>
    <t>D,开发团队背景调整因子</t>
  </si>
  <si>
    <t>调整后工作量（单位：人天）</t>
  </si>
  <si>
    <t>AE,S*PDR/8h*A*B*C*D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</si>
</sst>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_ "/>
    <numFmt numFmtId="179" formatCode="0.00_);[Red]\(0.00\)"/>
  </numFmts>
  <fonts count="47">
    <font>
      <sz val="11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b/>
      <sz val="26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0"/>
      <color theme="1"/>
      <name val="宋体"/>
      <charset val="134"/>
    </font>
    <font>
      <b/>
      <sz val="10"/>
      <color theme="1"/>
      <name val="宋体"/>
      <charset val="134"/>
    </font>
    <font>
      <sz val="10"/>
      <color rgb="FF0070C0"/>
      <name val="宋体"/>
      <charset val="134"/>
    </font>
    <font>
      <b/>
      <sz val="10"/>
      <color indexed="8"/>
      <name val="宋体"/>
      <charset val="134"/>
    </font>
    <font>
      <sz val="8"/>
      <color theme="1"/>
      <name val="宋体"/>
      <charset val="134"/>
      <scheme val="minor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10"/>
      <name val="宋体"/>
      <charset val="134"/>
    </font>
    <font>
      <b/>
      <sz val="11"/>
      <color rgb="FFFF0000"/>
      <name val="宋体"/>
      <charset val="134"/>
    </font>
    <font>
      <sz val="10"/>
      <color theme="1"/>
      <name val="宋体"/>
      <charset val="134"/>
      <scheme val="minor"/>
    </font>
    <font>
      <sz val="8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9"/>
      <name val="宋体"/>
      <charset val="134"/>
      <scheme val="minor"/>
    </font>
    <font>
      <sz val="9"/>
      <color theme="1"/>
      <name val="宋体"/>
      <charset val="134"/>
      <scheme val="minor"/>
    </font>
    <font>
      <sz val="10.5"/>
      <name val="宋体"/>
      <charset val="134"/>
    </font>
    <font>
      <b/>
      <sz val="9"/>
      <color theme="1"/>
      <name val="宋体"/>
      <charset val="134"/>
      <scheme val="minor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Times New Roman"/>
      <charset val="134"/>
    </font>
    <font>
      <b/>
      <sz val="9"/>
      <name val="宋体"/>
      <charset val="134"/>
    </font>
    <font>
      <sz val="9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theme="6" tint="0.39991454817346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78484450819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11" borderId="8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3" fillId="12" borderId="11" applyNumberFormat="0" applyAlignment="0" applyProtection="0">
      <alignment vertical="center"/>
    </xf>
    <xf numFmtId="0" fontId="34" fillId="13" borderId="12" applyNumberFormat="0" applyAlignment="0" applyProtection="0">
      <alignment vertical="center"/>
    </xf>
    <xf numFmtId="0" fontId="35" fillId="13" borderId="11" applyNumberFormat="0" applyAlignment="0" applyProtection="0">
      <alignment vertical="center"/>
    </xf>
    <xf numFmtId="0" fontId="36" fillId="14" borderId="13" applyNumberFormat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4" fillId="0" borderId="0"/>
    <xf numFmtId="0" fontId="0" fillId="0" borderId="0">
      <alignment vertical="center"/>
    </xf>
    <xf numFmtId="0" fontId="13" fillId="0" borderId="0">
      <alignment vertical="center"/>
    </xf>
  </cellStyleXfs>
  <cellXfs count="10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0" fillId="4" borderId="1" xfId="0" applyFill="1" applyBorder="1">
      <alignment vertical="center"/>
    </xf>
    <xf numFmtId="176" fontId="0" fillId="5" borderId="1" xfId="0" applyNumberFormat="1" applyFill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176" fontId="4" fillId="5" borderId="1" xfId="0" applyNumberFormat="1" applyFont="1" applyFill="1" applyBorder="1">
      <alignment vertical="center"/>
    </xf>
    <xf numFmtId="9" fontId="0" fillId="0" borderId="0" xfId="0" applyNumberFormat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6" fontId="4" fillId="6" borderId="1" xfId="0" applyNumberFormat="1" applyFont="1" applyFill="1" applyBorder="1">
      <alignment vertical="center"/>
    </xf>
    <xf numFmtId="0" fontId="5" fillId="7" borderId="1" xfId="0" applyFont="1" applyFill="1" applyBorder="1">
      <alignment vertical="center"/>
    </xf>
    <xf numFmtId="0" fontId="5" fillId="0" borderId="0" xfId="0" applyFo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76" fontId="0" fillId="6" borderId="1" xfId="0" applyNumberFormat="1" applyFill="1" applyBorder="1">
      <alignment vertical="center"/>
    </xf>
    <xf numFmtId="0" fontId="0" fillId="3" borderId="1" xfId="0" applyFill="1" applyBorder="1" applyAlignment="1">
      <alignment horizontal="left" vertical="center"/>
    </xf>
    <xf numFmtId="176" fontId="6" fillId="5" borderId="1" xfId="0" applyNumberFormat="1" applyFont="1" applyFill="1" applyBorder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7" fillId="0" borderId="4" xfId="0" applyFont="1" applyBorder="1">
      <alignment vertical="center"/>
    </xf>
    <xf numFmtId="0" fontId="1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76" fontId="7" fillId="5" borderId="1" xfId="0" applyNumberFormat="1" applyFont="1" applyFill="1" applyBorder="1" applyAlignment="1">
      <alignment horizontal="center" vertical="center"/>
    </xf>
    <xf numFmtId="177" fontId="7" fillId="5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78" fontId="7" fillId="5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8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justify" vertical="center" wrapText="1"/>
    </xf>
    <xf numFmtId="177" fontId="7" fillId="4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176" fontId="7" fillId="4" borderId="1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176" fontId="7" fillId="4" borderId="0" xfId="0" applyNumberFormat="1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78" fontId="7" fillId="4" borderId="1" xfId="0" applyNumberFormat="1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3" borderId="1" xfId="0" applyFont="1" applyFill="1" applyBorder="1" applyAlignment="1" applyProtection="1">
      <alignment horizontal="left" vertical="center" wrapText="1"/>
      <protection locked="0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5" fillId="3" borderId="1" xfId="0" applyFont="1" applyFill="1" applyBorder="1" applyAlignment="1" applyProtection="1">
      <alignment horizontal="left"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179" fontId="13" fillId="5" borderId="1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 applyProtection="1">
      <alignment horizontal="left" vertical="center"/>
      <protection locked="0"/>
    </xf>
    <xf numFmtId="0" fontId="14" fillId="2" borderId="1" xfId="0" applyFont="1" applyFill="1" applyBorder="1" applyAlignment="1" applyProtection="1">
      <alignment horizontal="center" vertical="center"/>
      <protection locked="0"/>
    </xf>
    <xf numFmtId="179" fontId="15" fillId="5" borderId="1" xfId="0" applyNumberFormat="1" applyFont="1" applyFill="1" applyBorder="1" applyAlignment="1">
      <alignment horizontal="center" vertical="center" wrapText="1"/>
    </xf>
    <xf numFmtId="0" fontId="16" fillId="0" borderId="1" xfId="0" applyFont="1" applyBorder="1" applyAlignment="1" applyProtection="1">
      <alignment horizontal="left" vertical="center" wrapText="1"/>
      <protection locked="0"/>
    </xf>
    <xf numFmtId="0" fontId="16" fillId="0" borderId="1" xfId="0" applyFont="1" applyBorder="1" applyAlignment="1" applyProtection="1">
      <alignment horizontal="left" vertical="center"/>
      <protection locked="0"/>
    </xf>
    <xf numFmtId="0" fontId="16" fillId="0" borderId="1" xfId="0" applyFont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 applyProtection="1">
      <alignment horizontal="left" vertical="center" wrapText="1"/>
      <protection locked="0"/>
    </xf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11" fillId="3" borderId="1" xfId="0" applyFont="1" applyFill="1" applyBorder="1" applyAlignment="1" applyProtection="1">
      <alignment horizontal="left" vertical="center" wrapText="1"/>
      <protection locked="0"/>
    </xf>
    <xf numFmtId="0" fontId="17" fillId="3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>
      <alignment vertical="center"/>
    </xf>
    <xf numFmtId="0" fontId="18" fillId="0" borderId="1" xfId="0" applyFont="1" applyFill="1" applyBorder="1">
      <alignment vertical="center"/>
    </xf>
    <xf numFmtId="0" fontId="19" fillId="9" borderId="1" xfId="0" applyFont="1" applyFill="1" applyBorder="1" applyAlignment="1" applyProtection="1">
      <alignment horizontal="center" vertical="center" wrapText="1"/>
      <protection locked="0"/>
    </xf>
    <xf numFmtId="0" fontId="20" fillId="5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 applyProtection="1">
      <alignment horizontal="center" vertical="center" wrapText="1"/>
      <protection locked="0"/>
    </xf>
    <xf numFmtId="176" fontId="20" fillId="5" borderId="1" xfId="0" applyNumberFormat="1" applyFont="1" applyFill="1" applyBorder="1" applyAlignment="1">
      <alignment horizontal="center" vertical="center" wrapText="1"/>
    </xf>
    <xf numFmtId="0" fontId="20" fillId="0" borderId="1" xfId="0" applyFont="1" applyBorder="1" applyAlignment="1" applyProtection="1">
      <alignment horizontal="left" vertical="center" wrapText="1"/>
      <protection locked="0"/>
    </xf>
    <xf numFmtId="0" fontId="20" fillId="0" borderId="1" xfId="0" applyFont="1" applyFill="1" applyBorder="1" applyAlignment="1" applyProtection="1">
      <alignment horizontal="center" vertical="center" wrapText="1"/>
      <protection locked="0"/>
    </xf>
    <xf numFmtId="0" fontId="20" fillId="0" borderId="1" xfId="0" applyFont="1" applyFill="1" applyBorder="1" applyAlignment="1" applyProtection="1">
      <alignment horizontal="center" vertical="center" wrapText="1"/>
      <protection locked="0"/>
    </xf>
    <xf numFmtId="0" fontId="21" fillId="0" borderId="1" xfId="0" applyFont="1" applyFill="1" applyBorder="1">
      <alignment vertical="center"/>
    </xf>
    <xf numFmtId="0" fontId="18" fillId="0" borderId="1" xfId="0" applyFont="1" applyFill="1" applyBorder="1">
      <alignment vertical="center"/>
    </xf>
    <xf numFmtId="0" fontId="19" fillId="0" borderId="1" xfId="0" applyFont="1" applyFill="1" applyBorder="1" applyAlignment="1" applyProtection="1">
      <alignment horizontal="center" vertical="center" wrapText="1"/>
      <protection locked="0"/>
    </xf>
    <xf numFmtId="0" fontId="22" fillId="0" borderId="1" xfId="0" applyFont="1" applyBorder="1" applyProtection="1">
      <alignment vertical="center"/>
      <protection locked="0"/>
    </xf>
    <xf numFmtId="0" fontId="22" fillId="3" borderId="5" xfId="0" applyFont="1" applyFill="1" applyBorder="1" applyAlignment="1" applyProtection="1">
      <alignment horizontal="center" vertical="center" wrapText="1"/>
      <protection locked="0"/>
    </xf>
    <xf numFmtId="0" fontId="22" fillId="3" borderId="6" xfId="0" applyFont="1" applyFill="1" applyBorder="1" applyAlignment="1" applyProtection="1">
      <alignment horizontal="center" vertical="center" wrapText="1"/>
      <protection locked="0"/>
    </xf>
    <xf numFmtId="176" fontId="22" fillId="5" borderId="7" xfId="0" applyNumberFormat="1" applyFont="1" applyFill="1" applyBorder="1" applyAlignment="1">
      <alignment horizontal="center" vertical="center" wrapText="1"/>
    </xf>
    <xf numFmtId="0" fontId="22" fillId="3" borderId="7" xfId="0" applyFont="1" applyFill="1" applyBorder="1" applyAlignment="1" applyProtection="1">
      <alignment horizontal="center" vertical="center" wrapText="1"/>
      <protection locked="0"/>
    </xf>
    <xf numFmtId="0" fontId="23" fillId="0" borderId="0" xfId="0" applyFont="1">
      <alignment vertical="center"/>
    </xf>
    <xf numFmtId="0" fontId="24" fillId="10" borderId="1" xfId="0" applyFont="1" applyFill="1" applyBorder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24" fillId="0" borderId="0" xfId="0" applyFont="1">
      <alignment vertical="center"/>
    </xf>
    <xf numFmtId="0" fontId="25" fillId="0" borderId="1" xfId="0" applyFont="1" applyBorder="1" applyAlignment="1">
      <alignment horizontal="center" vertical="center"/>
    </xf>
    <xf numFmtId="0" fontId="24" fillId="0" borderId="1" xfId="0" applyFont="1" applyBorder="1">
      <alignment vertical="center"/>
    </xf>
    <xf numFmtId="0" fontId="25" fillId="3" borderId="1" xfId="0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0,0_x000d__x000a_NA_x0008__x0004_" xfId="49"/>
    <cellStyle name="常规 2 5" xfId="50"/>
    <cellStyle name="常规 4" xfId="51"/>
  </cellStyles>
  <tableStyles count="0" defaultTableStyle="TableStyleMedium2" defaultPivotStyle="PivotStyleLight16"/>
  <colors>
    <mruColors>
      <color rgb="00FFFF00"/>
      <color rgb="0092D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theme="0" tint="-0.349986266670736"/>
  </sheetPr>
  <dimension ref="A1:B8"/>
  <sheetViews>
    <sheetView workbookViewId="0">
      <selection activeCell="B18" sqref="B18"/>
    </sheetView>
  </sheetViews>
  <sheetFormatPr defaultColWidth="8.88333333333333" defaultRowHeight="12" outlineLevelRow="7" outlineLevelCol="1"/>
  <cols>
    <col min="1" max="1" width="16" style="92" customWidth="1"/>
    <col min="2" max="2" width="149.5" style="92" customWidth="1"/>
    <col min="3" max="16384" width="8.88333333333333" style="92"/>
  </cols>
  <sheetData>
    <row r="1" ht="72.6" customHeight="1" spans="1:2">
      <c r="A1" s="93" t="s">
        <v>0</v>
      </c>
      <c r="B1" s="93"/>
    </row>
    <row r="2" ht="14.25" spans="1:2">
      <c r="A2" s="94"/>
      <c r="B2" s="94"/>
    </row>
    <row r="3" ht="14.25" spans="1:2">
      <c r="A3" s="95"/>
      <c r="B3" s="95"/>
    </row>
    <row r="4" ht="14.25" spans="1:2">
      <c r="A4" s="96" t="s">
        <v>1</v>
      </c>
      <c r="B4" s="97" t="s">
        <v>2</v>
      </c>
    </row>
    <row r="5" ht="14.25" spans="1:2">
      <c r="A5" s="98" t="s">
        <v>3</v>
      </c>
      <c r="B5" s="97" t="s">
        <v>4</v>
      </c>
    </row>
    <row r="6" ht="14.25" spans="1:2">
      <c r="A6" s="99" t="s">
        <v>5</v>
      </c>
      <c r="B6" s="97" t="s">
        <v>6</v>
      </c>
    </row>
    <row r="7" ht="14.25" spans="1:2">
      <c r="A7" s="100" t="s">
        <v>7</v>
      </c>
      <c r="B7" s="97" t="s">
        <v>8</v>
      </c>
    </row>
    <row r="8" spans="1:2">
      <c r="A8" s="101"/>
    </row>
  </sheetData>
  <mergeCells count="1">
    <mergeCell ref="A1:B1"/>
  </mergeCell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L124"/>
  <sheetViews>
    <sheetView tabSelected="1" workbookViewId="0">
      <pane xSplit="12" ySplit="7" topLeftCell="O96" activePane="bottomRight" state="frozen"/>
      <selection/>
      <selection pane="topRight"/>
      <selection pane="bottomLeft"/>
      <selection pane="bottomRight" activeCell="K115" sqref="K115:K121"/>
    </sheetView>
  </sheetViews>
  <sheetFormatPr defaultColWidth="9" defaultRowHeight="13.5"/>
  <cols>
    <col min="1" max="1" width="4.81666666666667" customWidth="1"/>
    <col min="2" max="2" width="15.15" style="53" customWidth="1"/>
    <col min="3" max="3" width="14.3" style="53" customWidth="1"/>
    <col min="4" max="4" width="22.4583333333333" style="53" customWidth="1"/>
    <col min="5" max="5" width="29.6916666666667" style="53" customWidth="1"/>
    <col min="6" max="6" width="59.75" style="54" customWidth="1"/>
    <col min="7" max="7" width="8" style="3" customWidth="1"/>
    <col min="8" max="8" width="8.88333333333333" customWidth="1"/>
    <col min="9" max="10" width="8.1" style="3" customWidth="1"/>
    <col min="11" max="11" width="8.88333333333333" customWidth="1"/>
    <col min="12" max="12" width="12.1083333333333" customWidth="1"/>
    <col min="13" max="13" width="5.06666666666667" customWidth="1"/>
    <col min="14" max="23" width="9" customWidth="1"/>
  </cols>
  <sheetData>
    <row r="1" ht="33.75" spans="1:12">
      <c r="A1" s="55" t="s">
        <v>9</v>
      </c>
      <c r="B1" s="28"/>
      <c r="C1" s="28"/>
      <c r="D1" s="28"/>
      <c r="E1" s="28"/>
      <c r="F1" s="56"/>
      <c r="G1" s="55"/>
      <c r="H1" s="55"/>
      <c r="I1" s="55"/>
      <c r="J1" s="55"/>
      <c r="K1" s="55"/>
      <c r="L1" s="55"/>
    </row>
    <row r="3" spans="1:12">
      <c r="A3" s="57" t="s">
        <v>10</v>
      </c>
      <c r="B3" s="57"/>
      <c r="C3" s="58" t="s">
        <v>11</v>
      </c>
      <c r="D3" s="59" t="s">
        <v>12</v>
      </c>
      <c r="E3" s="59"/>
      <c r="F3" s="59"/>
      <c r="G3" s="60"/>
      <c r="H3" s="61"/>
      <c r="I3" s="61"/>
      <c r="J3" s="61"/>
      <c r="K3" s="61"/>
      <c r="L3" s="61"/>
    </row>
    <row r="4" spans="1:12">
      <c r="A4" s="62" t="s">
        <v>13</v>
      </c>
      <c r="B4" s="62"/>
      <c r="C4" s="63">
        <f>H124</f>
        <v>578</v>
      </c>
      <c r="D4" s="64" t="s">
        <v>14</v>
      </c>
      <c r="E4" s="64"/>
      <c r="F4" s="64"/>
      <c r="G4" s="65"/>
      <c r="H4" s="64"/>
      <c r="I4" s="64"/>
      <c r="J4" s="64"/>
      <c r="K4" s="64"/>
      <c r="L4" s="64"/>
    </row>
    <row r="5" spans="1:12">
      <c r="A5" s="62" t="s">
        <v>15</v>
      </c>
      <c r="B5" s="62"/>
      <c r="C5" s="66">
        <f>K124</f>
        <v>234.8</v>
      </c>
      <c r="D5" s="64" t="s">
        <v>16</v>
      </c>
      <c r="E5" s="64"/>
      <c r="F5" s="64"/>
      <c r="G5" s="65"/>
      <c r="H5" s="64"/>
      <c r="I5" s="64"/>
      <c r="J5" s="64"/>
      <c r="K5" s="64"/>
      <c r="L5" s="64"/>
    </row>
    <row r="6" spans="1:12">
      <c r="A6" s="67" t="s">
        <v>17</v>
      </c>
      <c r="B6" s="68"/>
      <c r="C6" s="68"/>
      <c r="D6" s="68"/>
      <c r="E6" s="68"/>
      <c r="F6" s="68"/>
      <c r="G6" s="69"/>
      <c r="H6" s="68"/>
      <c r="I6" s="68"/>
      <c r="J6" s="68"/>
      <c r="K6" s="68"/>
      <c r="L6" s="68"/>
    </row>
    <row r="7" ht="27" spans="1:12">
      <c r="A7" s="70" t="s">
        <v>18</v>
      </c>
      <c r="B7" s="70" t="s">
        <v>19</v>
      </c>
      <c r="C7" s="70" t="s">
        <v>20</v>
      </c>
      <c r="D7" s="70" t="s">
        <v>21</v>
      </c>
      <c r="E7" s="70" t="s">
        <v>22</v>
      </c>
      <c r="F7" s="71" t="s">
        <v>23</v>
      </c>
      <c r="G7" s="70" t="s">
        <v>24</v>
      </c>
      <c r="H7" s="70" t="s">
        <v>25</v>
      </c>
      <c r="I7" s="70" t="s">
        <v>26</v>
      </c>
      <c r="J7" s="70" t="s">
        <v>27</v>
      </c>
      <c r="K7" s="70" t="s">
        <v>28</v>
      </c>
      <c r="L7" s="70" t="s">
        <v>29</v>
      </c>
    </row>
    <row r="8" s="51" customFormat="1" ht="31.5" spans="1:12">
      <c r="A8" s="72" t="s">
        <v>30</v>
      </c>
      <c r="B8" s="72" t="s">
        <v>31</v>
      </c>
      <c r="C8" s="72" t="s">
        <v>31</v>
      </c>
      <c r="D8" s="72" t="s">
        <v>31</v>
      </c>
      <c r="E8" s="72" t="s">
        <v>31</v>
      </c>
      <c r="F8" s="73" t="s">
        <v>31</v>
      </c>
      <c r="G8" s="74" t="s">
        <v>32</v>
      </c>
      <c r="H8" s="74" t="s">
        <v>33</v>
      </c>
      <c r="I8" s="74" t="s">
        <v>34</v>
      </c>
      <c r="J8" s="74" t="s">
        <v>35</v>
      </c>
      <c r="K8" s="74" t="s">
        <v>36</v>
      </c>
      <c r="L8" s="74" t="s">
        <v>37</v>
      </c>
    </row>
    <row r="9" customFormat="1" spans="1:12">
      <c r="A9" s="75">
        <f>ROW()-8</f>
        <v>1</v>
      </c>
      <c r="B9" s="75" t="s">
        <v>38</v>
      </c>
      <c r="C9" s="75" t="s">
        <v>39</v>
      </c>
      <c r="D9" s="75" t="s">
        <v>39</v>
      </c>
      <c r="E9" s="76" t="s">
        <v>40</v>
      </c>
      <c r="F9" s="76" t="s">
        <v>41</v>
      </c>
      <c r="G9" s="77" t="s">
        <v>42</v>
      </c>
      <c r="H9" s="78">
        <f>IF(G9="ILF",'3. 调整因子'!$D$63,IF(G9="EIF",'3. 调整因子'!$D$64,IF(G9="EI",'3. 调整因子'!$D$65,IF(G9="EO",'3. 调整因子'!$D$66,IF(G9="EQ",'3. 调整因子'!$D$67,"")))))</f>
        <v>7</v>
      </c>
      <c r="I9" s="79" t="s">
        <v>43</v>
      </c>
      <c r="J9" s="79" t="s">
        <v>44</v>
      </c>
      <c r="K9" s="80">
        <f>IF(H9="","",IF(I9="高",IF(J9="删除",H9*'3. 调整因子'!$D$53*'3. 调整因子'!$D$60,IF(J9="修改",H9*'3. 调整因子'!$D$53*'3. 调整因子'!$D$59,H9*'3. 调整因子'!$D$53*'3. 调整因子'!$D$58)),IF(I9="中",IF(J9="删除",H9*'3. 调整因子'!$D$54*'3. 调整因子'!$D$60,IF(J9="修改",H9*'3. 调整因子'!$D$54*'3. 调整因子'!$D$59,H9*'3. 调整因子'!$D$54*'3. 调整因子'!$D$58)),IF(J9="删除",H9*'3. 调整因子'!$D$55*'3. 调整因子'!$D$60,IF(J9="修改",H9*'3. 调整因子'!$D$55*'3. 调整因子'!$D$59,H9*'3. 调整因子'!$D$55*'3. 调整因子'!$D$58)))))</f>
        <v>2.33333333333333</v>
      </c>
      <c r="L9" s="81"/>
    </row>
    <row r="10" customFormat="1" spans="1:12">
      <c r="A10" s="75">
        <f t="shared" ref="A10:A19" si="0">ROW()-8</f>
        <v>2</v>
      </c>
      <c r="B10" s="75" t="s">
        <v>38</v>
      </c>
      <c r="C10" s="75" t="s">
        <v>39</v>
      </c>
      <c r="D10" s="75" t="s">
        <v>39</v>
      </c>
      <c r="E10" s="76" t="s">
        <v>40</v>
      </c>
      <c r="F10" s="76" t="s">
        <v>45</v>
      </c>
      <c r="G10" s="77" t="s">
        <v>46</v>
      </c>
      <c r="H10" s="78">
        <f>IF(G10="ILF",'3. 调整因子'!$D$63,IF(G10="EIF",'3. 调整因子'!$D$64,IF(G10="EI",'3. 调整因子'!$D$65,IF(G10="EO",'3. 调整因子'!$D$66,IF(G10="EQ",'3. 调整因子'!$D$67,"")))))</f>
        <v>4</v>
      </c>
      <c r="I10" s="79" t="s">
        <v>43</v>
      </c>
      <c r="J10" s="79" t="s">
        <v>44</v>
      </c>
      <c r="K10" s="80">
        <f>IF(H10="","",IF(I10="高",IF(J10="删除",H10*'3. 调整因子'!$D$53*'3. 调整因子'!$D$60,IF(J10="修改",H10*'3. 调整因子'!$D$53*'3. 调整因子'!$D$59,H10*'3. 调整因子'!$D$53*'3. 调整因子'!$D$58)),IF(I10="中",IF(J10="删除",H10*'3. 调整因子'!$D$54*'3. 调整因子'!$D$60,IF(J10="修改",H10*'3. 调整因子'!$D$54*'3. 调整因子'!$D$59,H10*'3. 调整因子'!$D$54*'3. 调整因子'!$D$58)),IF(J10="删除",H10*'3. 调整因子'!$D$55*'3. 调整因子'!$D$60,IF(J10="修改",H10*'3. 调整因子'!$D$55*'3. 调整因子'!$D$59,H10*'3. 调整因子'!$D$55*'3. 调整因子'!$D$58)))))</f>
        <v>1.33333333333333</v>
      </c>
      <c r="L10" s="81"/>
    </row>
    <row r="11" customFormat="1" spans="1:12">
      <c r="A11" s="75">
        <f t="shared" si="0"/>
        <v>3</v>
      </c>
      <c r="B11" s="75" t="s">
        <v>38</v>
      </c>
      <c r="C11" s="75" t="s">
        <v>39</v>
      </c>
      <c r="D11" s="75" t="s">
        <v>39</v>
      </c>
      <c r="E11" s="76" t="s">
        <v>40</v>
      </c>
      <c r="F11" s="76" t="s">
        <v>47</v>
      </c>
      <c r="G11" s="77" t="s">
        <v>46</v>
      </c>
      <c r="H11" s="78">
        <f>IF(G11="ILF",'3. 调整因子'!$D$63,IF(G11="EIF",'3. 调整因子'!$D$64,IF(G11="EI",'3. 调整因子'!$D$65,IF(G11="EO",'3. 调整因子'!$D$66,IF(G11="EQ",'3. 调整因子'!$D$67,"")))))</f>
        <v>4</v>
      </c>
      <c r="I11" s="79" t="s">
        <v>43</v>
      </c>
      <c r="J11" s="79" t="s">
        <v>44</v>
      </c>
      <c r="K11" s="80">
        <f>IF(H11="","",IF(I11="高",IF(J11="删除",H11*'3. 调整因子'!$D$53*'3. 调整因子'!$D$60,IF(J11="修改",H11*'3. 调整因子'!$D$53*'3. 调整因子'!$D$59,H11*'3. 调整因子'!$D$53*'3. 调整因子'!$D$58)),IF(I11="中",IF(J11="删除",H11*'3. 调整因子'!$D$54*'3. 调整因子'!$D$60,IF(J11="修改",H11*'3. 调整因子'!$D$54*'3. 调整因子'!$D$59,H11*'3. 调整因子'!$D$54*'3. 调整因子'!$D$58)),IF(J11="删除",H11*'3. 调整因子'!$D$55*'3. 调整因子'!$D$60,IF(J11="修改",H11*'3. 调整因子'!$D$55*'3. 调整因子'!$D$59,H11*'3. 调整因子'!$D$55*'3. 调整因子'!$D$58)))))</f>
        <v>1.33333333333333</v>
      </c>
      <c r="L11" s="81"/>
    </row>
    <row r="12" customFormat="1" spans="1:12">
      <c r="A12" s="75">
        <f t="shared" si="0"/>
        <v>4</v>
      </c>
      <c r="B12" s="75" t="s">
        <v>38</v>
      </c>
      <c r="C12" s="75" t="s">
        <v>39</v>
      </c>
      <c r="D12" s="75" t="s">
        <v>39</v>
      </c>
      <c r="E12" s="76" t="s">
        <v>40</v>
      </c>
      <c r="F12" s="76" t="s">
        <v>48</v>
      </c>
      <c r="G12" s="77" t="s">
        <v>46</v>
      </c>
      <c r="H12" s="78">
        <f>IF(G12="ILF",'3. 调整因子'!$D$63,IF(G12="EIF",'3. 调整因子'!$D$64,IF(G12="EI",'3. 调整因子'!$D$65,IF(G12="EO",'3. 调整因子'!$D$66,IF(G12="EQ",'3. 调整因子'!$D$67,"")))))</f>
        <v>4</v>
      </c>
      <c r="I12" s="79" t="s">
        <v>43</v>
      </c>
      <c r="J12" s="79" t="s">
        <v>44</v>
      </c>
      <c r="K12" s="80">
        <f>IF(H12="","",IF(I12="高",IF(J12="删除",H12*'3. 调整因子'!$D$53*'3. 调整因子'!$D$60,IF(J12="修改",H12*'3. 调整因子'!$D$53*'3. 调整因子'!$D$59,H12*'3. 调整因子'!$D$53*'3. 调整因子'!$D$58)),IF(I12="中",IF(J12="删除",H12*'3. 调整因子'!$D$54*'3. 调整因子'!$D$60,IF(J12="修改",H12*'3. 调整因子'!$D$54*'3. 调整因子'!$D$59,H12*'3. 调整因子'!$D$54*'3. 调整因子'!$D$58)),IF(J12="删除",H12*'3. 调整因子'!$D$55*'3. 调整因子'!$D$60,IF(J12="修改",H12*'3. 调整因子'!$D$55*'3. 调整因子'!$D$59,H12*'3. 调整因子'!$D$55*'3. 调整因子'!$D$58)))))</f>
        <v>1.33333333333333</v>
      </c>
      <c r="L12" s="81"/>
    </row>
    <row r="13" customFormat="1" spans="1:12">
      <c r="A13" s="75">
        <f t="shared" si="0"/>
        <v>5</v>
      </c>
      <c r="B13" s="75" t="s">
        <v>38</v>
      </c>
      <c r="C13" s="75" t="s">
        <v>39</v>
      </c>
      <c r="D13" s="75" t="s">
        <v>39</v>
      </c>
      <c r="E13" s="76" t="s">
        <v>40</v>
      </c>
      <c r="F13" s="76" t="s">
        <v>49</v>
      </c>
      <c r="G13" s="77" t="s">
        <v>50</v>
      </c>
      <c r="H13" s="78">
        <f>IF(G13="ILF",'3. 调整因子'!$D$63,IF(G13="EIF",'3. 调整因子'!$D$64,IF(G13="EI",'3. 调整因子'!$D$65,IF(G13="EO",'3. 调整因子'!$D$66,IF(G13="EQ",'3. 调整因子'!$D$67,"")))))</f>
        <v>4</v>
      </c>
      <c r="I13" s="79" t="s">
        <v>43</v>
      </c>
      <c r="J13" s="79" t="s">
        <v>44</v>
      </c>
      <c r="K13" s="80">
        <f>IF(H13="","",IF(I13="高",IF(J13="删除",H13*'3. 调整因子'!$D$53*'3. 调整因子'!$D$60,IF(J13="修改",H13*'3. 调整因子'!$D$53*'3. 调整因子'!$D$59,H13*'3. 调整因子'!$D$53*'3. 调整因子'!$D$58)),IF(I13="中",IF(J13="删除",H13*'3. 调整因子'!$D$54*'3. 调整因子'!$D$60,IF(J13="修改",H13*'3. 调整因子'!$D$54*'3. 调整因子'!$D$59,H13*'3. 调整因子'!$D$54*'3. 调整因子'!$D$58)),IF(J13="删除",H13*'3. 调整因子'!$D$55*'3. 调整因子'!$D$60,IF(J13="修改",H13*'3. 调整因子'!$D$55*'3. 调整因子'!$D$59,H13*'3. 调整因子'!$D$55*'3. 调整因子'!$D$58)))))</f>
        <v>1.33333333333333</v>
      </c>
      <c r="L13" s="81"/>
    </row>
    <row r="14" customFormat="1" spans="1:12">
      <c r="A14" s="75">
        <f t="shared" si="0"/>
        <v>6</v>
      </c>
      <c r="B14" s="75" t="s">
        <v>38</v>
      </c>
      <c r="C14" s="75" t="s">
        <v>39</v>
      </c>
      <c r="D14" s="75" t="s">
        <v>39</v>
      </c>
      <c r="E14" s="76" t="s">
        <v>40</v>
      </c>
      <c r="F14" s="76" t="s">
        <v>51</v>
      </c>
      <c r="G14" s="77" t="s">
        <v>46</v>
      </c>
      <c r="H14" s="78">
        <f>IF(G14="ILF",'3. 调整因子'!$D$63,IF(G14="EIF",'3. 调整因子'!$D$64,IF(G14="EI",'3. 调整因子'!$D$65,IF(G14="EO",'3. 调整因子'!$D$66,IF(G14="EQ",'3. 调整因子'!$D$67,"")))))</f>
        <v>4</v>
      </c>
      <c r="I14" s="79" t="s">
        <v>43</v>
      </c>
      <c r="J14" s="79" t="s">
        <v>44</v>
      </c>
      <c r="K14" s="80">
        <f>IF(H14="","",IF(I14="高",IF(J14="删除",H14*'3. 调整因子'!$D$53*'3. 调整因子'!$D$60,IF(J14="修改",H14*'3. 调整因子'!$D$53*'3. 调整因子'!$D$59,H14*'3. 调整因子'!$D$53*'3. 调整因子'!$D$58)),IF(I14="中",IF(J14="删除",H14*'3. 调整因子'!$D$54*'3. 调整因子'!$D$60,IF(J14="修改",H14*'3. 调整因子'!$D$54*'3. 调整因子'!$D$59,H14*'3. 调整因子'!$D$54*'3. 调整因子'!$D$58)),IF(J14="删除",H14*'3. 调整因子'!$D$55*'3. 调整因子'!$D$60,IF(J14="修改",H14*'3. 调整因子'!$D$55*'3. 调整因子'!$D$59,H14*'3. 调整因子'!$D$55*'3. 调整因子'!$D$58)))))</f>
        <v>1.33333333333333</v>
      </c>
      <c r="L14" s="81"/>
    </row>
    <row r="15" customFormat="1" spans="1:12">
      <c r="A15" s="75">
        <f t="shared" si="0"/>
        <v>7</v>
      </c>
      <c r="B15" s="75" t="s">
        <v>38</v>
      </c>
      <c r="C15" s="75" t="s">
        <v>39</v>
      </c>
      <c r="D15" s="75" t="s">
        <v>39</v>
      </c>
      <c r="E15" s="76" t="s">
        <v>40</v>
      </c>
      <c r="F15" s="76" t="s">
        <v>52</v>
      </c>
      <c r="G15" s="77" t="s">
        <v>50</v>
      </c>
      <c r="H15" s="78">
        <f>IF(G15="ILF",'3. 调整因子'!$D$63,IF(G15="EIF",'3. 调整因子'!$D$64,IF(G15="EI",'3. 调整因子'!$D$65,IF(G15="EO",'3. 调整因子'!$D$66,IF(G15="EQ",'3. 调整因子'!$D$67,"")))))</f>
        <v>4</v>
      </c>
      <c r="I15" s="79" t="s">
        <v>43</v>
      </c>
      <c r="J15" s="79" t="s">
        <v>44</v>
      </c>
      <c r="K15" s="80">
        <f>IF(H15="","",IF(I15="高",IF(J15="删除",H15*'3. 调整因子'!$D$53*'3. 调整因子'!$D$60,IF(J15="修改",H15*'3. 调整因子'!$D$53*'3. 调整因子'!$D$59,H15*'3. 调整因子'!$D$53*'3. 调整因子'!$D$58)),IF(I15="中",IF(J15="删除",H15*'3. 调整因子'!$D$54*'3. 调整因子'!$D$60,IF(J15="修改",H15*'3. 调整因子'!$D$54*'3. 调整因子'!$D$59,H15*'3. 调整因子'!$D$54*'3. 调整因子'!$D$58)),IF(J15="删除",H15*'3. 调整因子'!$D$55*'3. 调整因子'!$D$60,IF(J15="修改",H15*'3. 调整因子'!$D$55*'3. 调整因子'!$D$59,H15*'3. 调整因子'!$D$55*'3. 调整因子'!$D$58)))))</f>
        <v>1.33333333333333</v>
      </c>
      <c r="L15" s="81"/>
    </row>
    <row r="16" customFormat="1" spans="1:12">
      <c r="A16" s="75">
        <f t="shared" si="0"/>
        <v>8</v>
      </c>
      <c r="B16" s="75" t="s">
        <v>38</v>
      </c>
      <c r="C16" s="75" t="s">
        <v>39</v>
      </c>
      <c r="D16" s="75" t="s">
        <v>39</v>
      </c>
      <c r="E16" s="76" t="s">
        <v>40</v>
      </c>
      <c r="F16" s="76" t="s">
        <v>53</v>
      </c>
      <c r="G16" s="77" t="s">
        <v>54</v>
      </c>
      <c r="H16" s="78">
        <f>IF(G16="ILF",'3. 调整因子'!$D$63,IF(G16="EIF",'3. 调整因子'!$D$64,IF(G16="EI",'3. 调整因子'!$D$65,IF(G16="EO",'3. 调整因子'!$D$66,IF(G16="EQ",'3. 调整因子'!$D$67,"")))))</f>
        <v>5</v>
      </c>
      <c r="I16" s="79" t="s">
        <v>43</v>
      </c>
      <c r="J16" s="79" t="s">
        <v>44</v>
      </c>
      <c r="K16" s="80">
        <f>IF(H16="","",IF(I16="高",IF(J16="删除",H16*'3. 调整因子'!$D$53*'3. 调整因子'!$D$60,IF(J16="修改",H16*'3. 调整因子'!$D$53*'3. 调整因子'!$D$59,H16*'3. 调整因子'!$D$53*'3. 调整因子'!$D$58)),IF(I16="中",IF(J16="删除",H16*'3. 调整因子'!$D$54*'3. 调整因子'!$D$60,IF(J16="修改",H16*'3. 调整因子'!$D$54*'3. 调整因子'!$D$59,H16*'3. 调整因子'!$D$54*'3. 调整因子'!$D$58)),IF(J16="删除",H16*'3. 调整因子'!$D$55*'3. 调整因子'!$D$60,IF(J16="修改",H16*'3. 调整因子'!$D$55*'3. 调整因子'!$D$59,H16*'3. 调整因子'!$D$55*'3. 调整因子'!$D$58)))))</f>
        <v>1.66666666666666</v>
      </c>
      <c r="L16" s="81"/>
    </row>
    <row r="17" customFormat="1" spans="1:12">
      <c r="A17" s="75">
        <f t="shared" si="0"/>
        <v>9</v>
      </c>
      <c r="B17" s="75" t="s">
        <v>38</v>
      </c>
      <c r="C17" s="75" t="s">
        <v>39</v>
      </c>
      <c r="D17" s="75" t="s">
        <v>39</v>
      </c>
      <c r="E17" s="76" t="s">
        <v>40</v>
      </c>
      <c r="F17" s="76" t="s">
        <v>55</v>
      </c>
      <c r="G17" s="77" t="s">
        <v>46</v>
      </c>
      <c r="H17" s="78">
        <f>IF(G17="ILF",'3. 调整因子'!$D$63,IF(G17="EIF",'3. 调整因子'!$D$64,IF(G17="EI",'3. 调整因子'!$D$65,IF(G17="EO",'3. 调整因子'!$D$66,IF(G17="EQ",'3. 调整因子'!$D$67,"")))))</f>
        <v>4</v>
      </c>
      <c r="I17" s="79" t="s">
        <v>43</v>
      </c>
      <c r="J17" s="79" t="s">
        <v>44</v>
      </c>
      <c r="K17" s="80">
        <f>IF(H17="","",IF(I17="高",IF(J17="删除",H17*'3. 调整因子'!$D$53*'3. 调整因子'!$D$60,IF(J17="修改",H17*'3. 调整因子'!$D$53*'3. 调整因子'!$D$59,H17*'3. 调整因子'!$D$53*'3. 调整因子'!$D$58)),IF(I17="中",IF(J17="删除",H17*'3. 调整因子'!$D$54*'3. 调整因子'!$D$60,IF(J17="修改",H17*'3. 调整因子'!$D$54*'3. 调整因子'!$D$59,H17*'3. 调整因子'!$D$54*'3. 调整因子'!$D$58)),IF(J17="删除",H17*'3. 调整因子'!$D$55*'3. 调整因子'!$D$60,IF(J17="修改",H17*'3. 调整因子'!$D$55*'3. 调整因子'!$D$59,H17*'3. 调整因子'!$D$55*'3. 调整因子'!$D$58)))))</f>
        <v>1.33333333333333</v>
      </c>
      <c r="L17" s="81"/>
    </row>
    <row r="18" customFormat="1" spans="1:12">
      <c r="A18" s="75">
        <f t="shared" si="0"/>
        <v>10</v>
      </c>
      <c r="B18" s="75" t="s">
        <v>38</v>
      </c>
      <c r="C18" s="75" t="s">
        <v>39</v>
      </c>
      <c r="D18" s="75" t="s">
        <v>39</v>
      </c>
      <c r="E18" s="76" t="s">
        <v>40</v>
      </c>
      <c r="F18" s="76" t="s">
        <v>56</v>
      </c>
      <c r="G18" s="77" t="s">
        <v>54</v>
      </c>
      <c r="H18" s="78">
        <f>IF(G18="ILF",'3. 调整因子'!$D$63,IF(G18="EIF",'3. 调整因子'!$D$64,IF(G18="EI",'3. 调整因子'!$D$65,IF(G18="EO",'3. 调整因子'!$D$66,IF(G18="EQ",'3. 调整因子'!$D$67,"")))))</f>
        <v>5</v>
      </c>
      <c r="I18" s="79" t="s">
        <v>43</v>
      </c>
      <c r="J18" s="79" t="s">
        <v>44</v>
      </c>
      <c r="K18" s="80">
        <f>IF(H18="","",IF(I18="高",IF(J18="删除",H18*'3. 调整因子'!$D$53*'3. 调整因子'!$D$60,IF(J18="修改",H18*'3. 调整因子'!$D$53*'3. 调整因子'!$D$59,H18*'3. 调整因子'!$D$53*'3. 调整因子'!$D$58)),IF(I18="中",IF(J18="删除",H18*'3. 调整因子'!$D$54*'3. 调整因子'!$D$60,IF(J18="修改",H18*'3. 调整因子'!$D$54*'3. 调整因子'!$D$59,H18*'3. 调整因子'!$D$54*'3. 调整因子'!$D$58)),IF(J18="删除",H18*'3. 调整因子'!$D$55*'3. 调整因子'!$D$60,IF(J18="修改",H18*'3. 调整因子'!$D$55*'3. 调整因子'!$D$59,H18*'3. 调整因子'!$D$55*'3. 调整因子'!$D$58)))))</f>
        <v>1.66666666666666</v>
      </c>
      <c r="L18" s="81"/>
    </row>
    <row r="19" customFormat="1" spans="1:12">
      <c r="A19" s="75">
        <f t="shared" si="0"/>
        <v>11</v>
      </c>
      <c r="B19" s="75" t="s">
        <v>38</v>
      </c>
      <c r="C19" s="75" t="s">
        <v>39</v>
      </c>
      <c r="D19" s="75" t="s">
        <v>39</v>
      </c>
      <c r="E19" s="76" t="s">
        <v>40</v>
      </c>
      <c r="F19" s="76" t="s">
        <v>57</v>
      </c>
      <c r="G19" s="77" t="s">
        <v>54</v>
      </c>
      <c r="H19" s="78">
        <f>IF(G19="ILF",'3. 调整因子'!$D$63,IF(G19="EIF",'3. 调整因子'!$D$64,IF(G19="EI",'3. 调整因子'!$D$65,IF(G19="EO",'3. 调整因子'!$D$66,IF(G19="EQ",'3. 调整因子'!$D$67,"")))))</f>
        <v>5</v>
      </c>
      <c r="I19" s="79" t="s">
        <v>43</v>
      </c>
      <c r="J19" s="79" t="s">
        <v>44</v>
      </c>
      <c r="K19" s="80">
        <f>IF(H19="","",IF(I19="高",IF(J19="删除",H19*'3. 调整因子'!$D$53*'3. 调整因子'!$D$60,IF(J19="修改",H19*'3. 调整因子'!$D$53*'3. 调整因子'!$D$59,H19*'3. 调整因子'!$D$53*'3. 调整因子'!$D$58)),IF(I19="中",IF(J19="删除",H19*'3. 调整因子'!$D$54*'3. 调整因子'!$D$60,IF(J19="修改",H19*'3. 调整因子'!$D$54*'3. 调整因子'!$D$59,H19*'3. 调整因子'!$D$54*'3. 调整因子'!$D$58)),IF(J19="删除",H19*'3. 调整因子'!$D$55*'3. 调整因子'!$D$60,IF(J19="修改",H19*'3. 调整因子'!$D$55*'3. 调整因子'!$D$59,H19*'3. 调整因子'!$D$55*'3. 调整因子'!$D$58)))))</f>
        <v>1.66666666666666</v>
      </c>
      <c r="L19" s="81"/>
    </row>
    <row r="20" customFormat="1" spans="1:12">
      <c r="A20" s="75">
        <f t="shared" ref="A20:A29" si="1">ROW()-8</f>
        <v>12</v>
      </c>
      <c r="B20" s="75" t="s">
        <v>38</v>
      </c>
      <c r="C20" s="75" t="s">
        <v>39</v>
      </c>
      <c r="D20" s="75" t="s">
        <v>39</v>
      </c>
      <c r="E20" s="76" t="s">
        <v>40</v>
      </c>
      <c r="F20" s="76" t="s">
        <v>58</v>
      </c>
      <c r="G20" s="77" t="s">
        <v>50</v>
      </c>
      <c r="H20" s="78">
        <f>IF(G20="ILF",'3. 调整因子'!$D$63,IF(G20="EIF",'3. 调整因子'!$D$64,IF(G20="EI",'3. 调整因子'!$D$65,IF(G20="EO",'3. 调整因子'!$D$66,IF(G20="EQ",'3. 调整因子'!$D$67,"")))))</f>
        <v>4</v>
      </c>
      <c r="I20" s="79" t="s">
        <v>43</v>
      </c>
      <c r="J20" s="79" t="s">
        <v>44</v>
      </c>
      <c r="K20" s="80">
        <f>IF(H20="","",IF(I20="高",IF(J20="删除",H20*'3. 调整因子'!$D$53*'3. 调整因子'!$D$60,IF(J20="修改",H20*'3. 调整因子'!$D$53*'3. 调整因子'!$D$59,H20*'3. 调整因子'!$D$53*'3. 调整因子'!$D$58)),IF(I20="中",IF(J20="删除",H20*'3. 调整因子'!$D$54*'3. 调整因子'!$D$60,IF(J20="修改",H20*'3. 调整因子'!$D$54*'3. 调整因子'!$D$59,H20*'3. 调整因子'!$D$54*'3. 调整因子'!$D$58)),IF(J20="删除",H20*'3. 调整因子'!$D$55*'3. 调整因子'!$D$60,IF(J20="修改",H20*'3. 调整因子'!$D$55*'3. 调整因子'!$D$59,H20*'3. 调整因子'!$D$55*'3. 调整因子'!$D$58)))))</f>
        <v>1.33333333333333</v>
      </c>
      <c r="L20" s="81"/>
    </row>
    <row r="21" customFormat="1" spans="1:12">
      <c r="A21" s="75">
        <f t="shared" si="1"/>
        <v>13</v>
      </c>
      <c r="B21" s="75" t="s">
        <v>38</v>
      </c>
      <c r="C21" s="75" t="s">
        <v>39</v>
      </c>
      <c r="D21" s="75" t="s">
        <v>39</v>
      </c>
      <c r="E21" s="76" t="s">
        <v>40</v>
      </c>
      <c r="F21" s="76" t="s">
        <v>59</v>
      </c>
      <c r="G21" s="77" t="s">
        <v>54</v>
      </c>
      <c r="H21" s="78">
        <f>IF(G21="ILF",'3. 调整因子'!$D$63,IF(G21="EIF",'3. 调整因子'!$D$64,IF(G21="EI",'3. 调整因子'!$D$65,IF(G21="EO",'3. 调整因子'!$D$66,IF(G21="EQ",'3. 调整因子'!$D$67,"")))))</f>
        <v>5</v>
      </c>
      <c r="I21" s="79" t="s">
        <v>43</v>
      </c>
      <c r="J21" s="79" t="s">
        <v>44</v>
      </c>
      <c r="K21" s="80">
        <f>IF(H21="","",IF(I21="高",IF(J21="删除",H21*'3. 调整因子'!$D$53*'3. 调整因子'!$D$60,IF(J21="修改",H21*'3. 调整因子'!$D$53*'3. 调整因子'!$D$59,H21*'3. 调整因子'!$D$53*'3. 调整因子'!$D$58)),IF(I21="中",IF(J21="删除",H21*'3. 调整因子'!$D$54*'3. 调整因子'!$D$60,IF(J21="修改",H21*'3. 调整因子'!$D$54*'3. 调整因子'!$D$59,H21*'3. 调整因子'!$D$54*'3. 调整因子'!$D$58)),IF(J21="删除",H21*'3. 调整因子'!$D$55*'3. 调整因子'!$D$60,IF(J21="修改",H21*'3. 调整因子'!$D$55*'3. 调整因子'!$D$59,H21*'3. 调整因子'!$D$55*'3. 调整因子'!$D$58)))))</f>
        <v>1.66666666666666</v>
      </c>
      <c r="L21" s="81"/>
    </row>
    <row r="22" customFormat="1" spans="1:12">
      <c r="A22" s="75">
        <f t="shared" si="1"/>
        <v>14</v>
      </c>
      <c r="B22" s="75" t="s">
        <v>38</v>
      </c>
      <c r="C22" s="75" t="s">
        <v>39</v>
      </c>
      <c r="D22" s="75" t="s">
        <v>39</v>
      </c>
      <c r="E22" s="76" t="s">
        <v>40</v>
      </c>
      <c r="F22" s="76" t="s">
        <v>60</v>
      </c>
      <c r="G22" s="77" t="s">
        <v>54</v>
      </c>
      <c r="H22" s="78">
        <f>IF(G22="ILF",'3. 调整因子'!$D$63,IF(G22="EIF",'3. 调整因子'!$D$64,IF(G22="EI",'3. 调整因子'!$D$65,IF(G22="EO",'3. 调整因子'!$D$66,IF(G22="EQ",'3. 调整因子'!$D$67,"")))))</f>
        <v>5</v>
      </c>
      <c r="I22" s="79" t="s">
        <v>61</v>
      </c>
      <c r="J22" s="79" t="s">
        <v>44</v>
      </c>
      <c r="K22" s="80">
        <f>IF(H22="","",IF(I22="高",IF(J22="删除",H22*'3. 调整因子'!$D$53*'3. 调整因子'!$D$60,IF(J22="修改",H22*'3. 调整因子'!$D$53*'3. 调整因子'!$D$59,H22*'3. 调整因子'!$D$53*'3. 调整因子'!$D$58)),IF(I22="中",IF(J22="删除",H22*'3. 调整因子'!$D$54*'3. 调整因子'!$D$60,IF(J22="修改",H22*'3. 调整因子'!$D$54*'3. 调整因子'!$D$59,H22*'3. 调整因子'!$D$54*'3. 调整因子'!$D$58)),IF(J22="删除",H22*'3. 调整因子'!$D$55*'3. 调整因子'!$D$60,IF(J22="修改",H22*'3. 调整因子'!$D$55*'3. 调整因子'!$D$59,H22*'3. 调整因子'!$D$55*'3. 调整因子'!$D$58)))))</f>
        <v>3.33333333333333</v>
      </c>
      <c r="L22" s="81"/>
    </row>
    <row r="23" customFormat="1" spans="1:12">
      <c r="A23" s="75">
        <f t="shared" si="1"/>
        <v>15</v>
      </c>
      <c r="B23" s="75" t="s">
        <v>38</v>
      </c>
      <c r="C23" s="75" t="s">
        <v>39</v>
      </c>
      <c r="D23" s="75" t="s">
        <v>39</v>
      </c>
      <c r="E23" s="76" t="s">
        <v>40</v>
      </c>
      <c r="F23" s="76" t="s">
        <v>62</v>
      </c>
      <c r="G23" s="77" t="s">
        <v>54</v>
      </c>
      <c r="H23" s="78">
        <f>IF(G23="ILF",'3. 调整因子'!$D$63,IF(G23="EIF",'3. 调整因子'!$D$64,IF(G23="EI",'3. 调整因子'!$D$65,IF(G23="EO",'3. 调整因子'!$D$66,IF(G23="EQ",'3. 调整因子'!$D$67,"")))))</f>
        <v>5</v>
      </c>
      <c r="I23" s="79" t="s">
        <v>43</v>
      </c>
      <c r="J23" s="79" t="s">
        <v>44</v>
      </c>
      <c r="K23" s="80">
        <f>IF(H23="","",IF(I23="高",IF(J23="删除",H23*'3. 调整因子'!$D$53*'3. 调整因子'!$D$60,IF(J23="修改",H23*'3. 调整因子'!$D$53*'3. 调整因子'!$D$59,H23*'3. 调整因子'!$D$53*'3. 调整因子'!$D$58)),IF(I23="中",IF(J23="删除",H23*'3. 调整因子'!$D$54*'3. 调整因子'!$D$60,IF(J23="修改",H23*'3. 调整因子'!$D$54*'3. 调整因子'!$D$59,H23*'3. 调整因子'!$D$54*'3. 调整因子'!$D$58)),IF(J23="删除",H23*'3. 调整因子'!$D$55*'3. 调整因子'!$D$60,IF(J23="修改",H23*'3. 调整因子'!$D$55*'3. 调整因子'!$D$59,H23*'3. 调整因子'!$D$55*'3. 调整因子'!$D$58)))))</f>
        <v>1.66666666666666</v>
      </c>
      <c r="L23" s="81"/>
    </row>
    <row r="24" customFormat="1" spans="1:12">
      <c r="A24" s="75">
        <f t="shared" si="1"/>
        <v>16</v>
      </c>
      <c r="B24" s="75" t="s">
        <v>38</v>
      </c>
      <c r="C24" s="75" t="s">
        <v>39</v>
      </c>
      <c r="D24" s="75" t="s">
        <v>39</v>
      </c>
      <c r="E24" s="76" t="s">
        <v>40</v>
      </c>
      <c r="F24" s="76" t="s">
        <v>63</v>
      </c>
      <c r="G24" s="77" t="s">
        <v>46</v>
      </c>
      <c r="H24" s="78">
        <f>IF(G24="ILF",'3. 调整因子'!$D$63,IF(G24="EIF",'3. 调整因子'!$D$64,IF(G24="EI",'3. 调整因子'!$D$65,IF(G24="EO",'3. 调整因子'!$D$66,IF(G24="EQ",'3. 调整因子'!$D$67,"")))))</f>
        <v>4</v>
      </c>
      <c r="I24" s="79" t="s">
        <v>43</v>
      </c>
      <c r="J24" s="79" t="s">
        <v>44</v>
      </c>
      <c r="K24" s="80">
        <f>IF(H24="","",IF(I24="高",IF(J24="删除",H24*'3. 调整因子'!$D$53*'3. 调整因子'!$D$60,IF(J24="修改",H24*'3. 调整因子'!$D$53*'3. 调整因子'!$D$59,H24*'3. 调整因子'!$D$53*'3. 调整因子'!$D$58)),IF(I24="中",IF(J24="删除",H24*'3. 调整因子'!$D$54*'3. 调整因子'!$D$60,IF(J24="修改",H24*'3. 调整因子'!$D$54*'3. 调整因子'!$D$59,H24*'3. 调整因子'!$D$54*'3. 调整因子'!$D$58)),IF(J24="删除",H24*'3. 调整因子'!$D$55*'3. 调整因子'!$D$60,IF(J24="修改",H24*'3. 调整因子'!$D$55*'3. 调整因子'!$D$59,H24*'3. 调整因子'!$D$55*'3. 调整因子'!$D$58)))))</f>
        <v>1.33333333333333</v>
      </c>
      <c r="L24" s="81"/>
    </row>
    <row r="25" customFormat="1" spans="1:12">
      <c r="A25" s="75">
        <f t="shared" si="1"/>
        <v>17</v>
      </c>
      <c r="B25" s="75" t="s">
        <v>38</v>
      </c>
      <c r="C25" s="75" t="s">
        <v>39</v>
      </c>
      <c r="D25" s="75" t="s">
        <v>39</v>
      </c>
      <c r="E25" s="76" t="s">
        <v>40</v>
      </c>
      <c r="F25" s="76" t="s">
        <v>64</v>
      </c>
      <c r="G25" s="77" t="s">
        <v>54</v>
      </c>
      <c r="H25" s="78">
        <f>IF(G25="ILF",'3. 调整因子'!$D$63,IF(G25="EIF",'3. 调整因子'!$D$64,IF(G25="EI",'3. 调整因子'!$D$65,IF(G25="EO",'3. 调整因子'!$D$66,IF(G25="EQ",'3. 调整因子'!$D$67,"")))))</f>
        <v>5</v>
      </c>
      <c r="I25" s="79" t="s">
        <v>43</v>
      </c>
      <c r="J25" s="82" t="s">
        <v>44</v>
      </c>
      <c r="K25" s="80">
        <f>IF(H25="","",IF(I25="高",IF(J25="删除",H25*'3. 调整因子'!$D$53*'3. 调整因子'!$D$60,IF(J25="修改",H25*'3. 调整因子'!$D$53*'3. 调整因子'!$D$59,H25*'3. 调整因子'!$D$53*'3. 调整因子'!$D$58)),IF(I25="中",IF(J25="删除",H25*'3. 调整因子'!$D$54*'3. 调整因子'!$D$60,IF(J25="修改",H25*'3. 调整因子'!$D$54*'3. 调整因子'!$D$59,H25*'3. 调整因子'!$D$54*'3. 调整因子'!$D$58)),IF(J25="删除",H25*'3. 调整因子'!$D$55*'3. 调整因子'!$D$60,IF(J25="修改",H25*'3. 调整因子'!$D$55*'3. 调整因子'!$D$59,H25*'3. 调整因子'!$D$55*'3. 调整因子'!$D$58)))))</f>
        <v>1.66666666666666</v>
      </c>
      <c r="L25" s="81"/>
    </row>
    <row r="26" customFormat="1" spans="1:12">
      <c r="A26" s="75">
        <f t="shared" si="1"/>
        <v>18</v>
      </c>
      <c r="B26" s="75" t="s">
        <v>38</v>
      </c>
      <c r="C26" s="75" t="s">
        <v>39</v>
      </c>
      <c r="D26" s="75" t="s">
        <v>39</v>
      </c>
      <c r="E26" s="76" t="s">
        <v>40</v>
      </c>
      <c r="F26" s="76" t="s">
        <v>65</v>
      </c>
      <c r="G26" s="77" t="s">
        <v>42</v>
      </c>
      <c r="H26" s="78">
        <f>IF(G26="ILF",'3. 调整因子'!$D$63,IF(G26="EIF",'3. 调整因子'!$D$64,IF(G26="EI",'3. 调整因子'!$D$65,IF(G26="EO",'3. 调整因子'!$D$66,IF(G26="EQ",'3. 调整因子'!$D$67,"")))))</f>
        <v>7</v>
      </c>
      <c r="I26" s="79" t="s">
        <v>43</v>
      </c>
      <c r="J26" s="83" t="s">
        <v>66</v>
      </c>
      <c r="K26" s="80">
        <f>IF(H26="","",IF(I26="高",IF(J26="删除",H26*'3. 调整因子'!$D$53*'3. 调整因子'!$D$60,IF(J26="修改",H26*'3. 调整因子'!$D$53*'3. 调整因子'!$D$59,H26*'3. 调整因子'!$D$53*'3. 调整因子'!$D$58)),IF(I26="中",IF(J26="删除",H26*'3. 调整因子'!$D$54*'3. 调整因子'!$D$60,IF(J26="修改",H26*'3. 调整因子'!$D$54*'3. 调整因子'!$D$59,H26*'3. 调整因子'!$D$54*'3. 调整因子'!$D$58)),IF(J26="删除",H26*'3. 调整因子'!$D$55*'3. 调整因子'!$D$60,IF(J26="修改",H26*'3. 调整因子'!$D$55*'3. 调整因子'!$D$59,H26*'3. 调整因子'!$D$55*'3. 调整因子'!$D$58)))))</f>
        <v>1.86666666666666</v>
      </c>
      <c r="L26" s="81"/>
    </row>
    <row r="27" customFormat="1" spans="1:12">
      <c r="A27" s="75">
        <f t="shared" si="1"/>
        <v>19</v>
      </c>
      <c r="B27" s="75" t="s">
        <v>38</v>
      </c>
      <c r="C27" s="75" t="s">
        <v>39</v>
      </c>
      <c r="D27" s="75" t="s">
        <v>39</v>
      </c>
      <c r="E27" s="76" t="s">
        <v>40</v>
      </c>
      <c r="F27" s="84" t="s">
        <v>67</v>
      </c>
      <c r="G27" s="77" t="s">
        <v>54</v>
      </c>
      <c r="H27" s="78">
        <f>IF(G27="ILF",'3. 调整因子'!$D$63,IF(G27="EIF",'3. 调整因子'!$D$64,IF(G27="EI",'3. 调整因子'!$D$65,IF(G27="EO",'3. 调整因子'!$D$66,IF(G27="EQ",'3. 调整因子'!$D$67,"")))))</f>
        <v>5</v>
      </c>
      <c r="I27" s="79" t="s">
        <v>61</v>
      </c>
      <c r="J27" s="82" t="s">
        <v>44</v>
      </c>
      <c r="K27" s="80">
        <f>IF(H27="","",IF(I27="高",IF(J27="删除",H27*'3. 调整因子'!$D$53*'3. 调整因子'!$D$60,IF(J27="修改",H27*'3. 调整因子'!$D$53*'3. 调整因子'!$D$59,H27*'3. 调整因子'!$D$53*'3. 调整因子'!$D$58)),IF(I27="中",IF(J27="删除",H27*'3. 调整因子'!$D$54*'3. 调整因子'!$D$60,IF(J27="修改",H27*'3. 调整因子'!$D$54*'3. 调整因子'!$D$59,H27*'3. 调整因子'!$D$54*'3. 调整因子'!$D$58)),IF(J27="删除",H27*'3. 调整因子'!$D$55*'3. 调整因子'!$D$60,IF(J27="修改",H27*'3. 调整因子'!$D$55*'3. 调整因子'!$D$59,H27*'3. 调整因子'!$D$55*'3. 调整因子'!$D$58)))))</f>
        <v>3.33333333333333</v>
      </c>
      <c r="L27" s="81"/>
    </row>
    <row r="28" customFormat="1" spans="1:12">
      <c r="A28" s="75">
        <f t="shared" si="1"/>
        <v>20</v>
      </c>
      <c r="B28" s="75" t="s">
        <v>38</v>
      </c>
      <c r="C28" s="75" t="s">
        <v>39</v>
      </c>
      <c r="D28" s="75" t="s">
        <v>39</v>
      </c>
      <c r="E28" s="76" t="s">
        <v>40</v>
      </c>
      <c r="F28" s="76" t="s">
        <v>68</v>
      </c>
      <c r="G28" s="77" t="s">
        <v>54</v>
      </c>
      <c r="H28" s="78">
        <f>IF(G28="ILF",'3. 调整因子'!$D$63,IF(G28="EIF",'3. 调整因子'!$D$64,IF(G28="EI",'3. 调整因子'!$D$65,IF(G28="EO",'3. 调整因子'!$D$66,IF(G28="EQ",'3. 调整因子'!$D$67,"")))))</f>
        <v>5</v>
      </c>
      <c r="I28" s="79" t="s">
        <v>43</v>
      </c>
      <c r="J28" s="82" t="s">
        <v>44</v>
      </c>
      <c r="K28" s="80">
        <f>IF(H28="","",IF(I28="高",IF(J28="删除",H28*'3. 调整因子'!$D$53*'3. 调整因子'!$D$60,IF(J28="修改",H28*'3. 调整因子'!$D$53*'3. 调整因子'!$D$59,H28*'3. 调整因子'!$D$53*'3. 调整因子'!$D$58)),IF(I28="中",IF(J28="删除",H28*'3. 调整因子'!$D$54*'3. 调整因子'!$D$60,IF(J28="修改",H28*'3. 调整因子'!$D$54*'3. 调整因子'!$D$59,H28*'3. 调整因子'!$D$54*'3. 调整因子'!$D$58)),IF(J28="删除",H28*'3. 调整因子'!$D$55*'3. 调整因子'!$D$60,IF(J28="修改",H28*'3. 调整因子'!$D$55*'3. 调整因子'!$D$59,H28*'3. 调整因子'!$D$55*'3. 调整因子'!$D$58)))))</f>
        <v>1.66666666666666</v>
      </c>
      <c r="L28" s="81"/>
    </row>
    <row r="29" customFormat="1" spans="1:12">
      <c r="A29" s="75">
        <f t="shared" si="1"/>
        <v>21</v>
      </c>
      <c r="B29" s="75" t="s">
        <v>38</v>
      </c>
      <c r="C29" s="75" t="s">
        <v>39</v>
      </c>
      <c r="D29" s="75" t="s">
        <v>39</v>
      </c>
      <c r="E29" s="76" t="s">
        <v>40</v>
      </c>
      <c r="F29" s="76" t="s">
        <v>69</v>
      </c>
      <c r="G29" s="77" t="s">
        <v>46</v>
      </c>
      <c r="H29" s="78">
        <f>IF(G29="ILF",'3. 调整因子'!$D$63,IF(G29="EIF",'3. 调整因子'!$D$64,IF(G29="EI",'3. 调整因子'!$D$65,IF(G29="EO",'3. 调整因子'!$D$66,IF(G29="EQ",'3. 调整因子'!$D$67,"")))))</f>
        <v>4</v>
      </c>
      <c r="I29" s="79" t="s">
        <v>61</v>
      </c>
      <c r="J29" s="82" t="s">
        <v>44</v>
      </c>
      <c r="K29" s="80">
        <f>IF(H29="","",IF(I29="高",IF(J29="删除",H29*'3. 调整因子'!$D$53*'3. 调整因子'!$D$60,IF(J29="修改",H29*'3. 调整因子'!$D$53*'3. 调整因子'!$D$59,H29*'3. 调整因子'!$D$53*'3. 调整因子'!$D$58)),IF(I29="中",IF(J29="删除",H29*'3. 调整因子'!$D$54*'3. 调整因子'!$D$60,IF(J29="修改",H29*'3. 调整因子'!$D$54*'3. 调整因子'!$D$59,H29*'3. 调整因子'!$D$54*'3. 调整因子'!$D$58)),IF(J29="删除",H29*'3. 调整因子'!$D$55*'3. 调整因子'!$D$60,IF(J29="修改",H29*'3. 调整因子'!$D$55*'3. 调整因子'!$D$59,H29*'3. 调整因子'!$D$55*'3. 调整因子'!$D$58)))))</f>
        <v>2.66666666666667</v>
      </c>
      <c r="L29" s="81"/>
    </row>
    <row r="30" customFormat="1" spans="1:12">
      <c r="A30" s="75">
        <f t="shared" ref="A30:A39" si="2">ROW()-8</f>
        <v>22</v>
      </c>
      <c r="B30" s="75" t="s">
        <v>38</v>
      </c>
      <c r="C30" s="75" t="s">
        <v>39</v>
      </c>
      <c r="D30" s="75" t="s">
        <v>39</v>
      </c>
      <c r="E30" s="76" t="s">
        <v>40</v>
      </c>
      <c r="F30" s="76" t="s">
        <v>70</v>
      </c>
      <c r="G30" s="77" t="s">
        <v>42</v>
      </c>
      <c r="H30" s="78">
        <f>IF(G30="ILF",'3. 调整因子'!$D$63,IF(G30="EIF",'3. 调整因子'!$D$64,IF(G30="EI",'3. 调整因子'!$D$65,IF(G30="EO",'3. 调整因子'!$D$66,IF(G30="EQ",'3. 调整因子'!$D$67,"")))))</f>
        <v>7</v>
      </c>
      <c r="I30" s="79" t="s">
        <v>43</v>
      </c>
      <c r="J30" s="82" t="s">
        <v>44</v>
      </c>
      <c r="K30" s="80">
        <f>IF(H30="","",IF(I30="高",IF(J30="删除",H30*'3. 调整因子'!$D$53*'3. 调整因子'!$D$60,IF(J30="修改",H30*'3. 调整因子'!$D$53*'3. 调整因子'!$D$59,H30*'3. 调整因子'!$D$53*'3. 调整因子'!$D$58)),IF(I30="中",IF(J30="删除",H30*'3. 调整因子'!$D$54*'3. 调整因子'!$D$60,IF(J30="修改",H30*'3. 调整因子'!$D$54*'3. 调整因子'!$D$59,H30*'3. 调整因子'!$D$54*'3. 调整因子'!$D$58)),IF(J30="删除",H30*'3. 调整因子'!$D$55*'3. 调整因子'!$D$60,IF(J30="修改",H30*'3. 调整因子'!$D$55*'3. 调整因子'!$D$59,H30*'3. 调整因子'!$D$55*'3. 调整因子'!$D$58)))))</f>
        <v>2.33333333333333</v>
      </c>
      <c r="L30" s="81"/>
    </row>
    <row r="31" customFormat="1" ht="18" customHeight="1" spans="1:12">
      <c r="A31" s="75">
        <f t="shared" si="2"/>
        <v>23</v>
      </c>
      <c r="B31" s="75" t="s">
        <v>38</v>
      </c>
      <c r="C31" s="75" t="s">
        <v>39</v>
      </c>
      <c r="D31" s="75" t="s">
        <v>39</v>
      </c>
      <c r="E31" s="76" t="s">
        <v>40</v>
      </c>
      <c r="F31" s="76" t="s">
        <v>71</v>
      </c>
      <c r="G31" s="77" t="s">
        <v>46</v>
      </c>
      <c r="H31" s="78">
        <f>IF(G31="ILF",'3. 调整因子'!$D$63,IF(G31="EIF",'3. 调整因子'!$D$64,IF(G31="EI",'3. 调整因子'!$D$65,IF(G31="EO",'3. 调整因子'!$D$66,IF(G31="EQ",'3. 调整因子'!$D$67,"")))))</f>
        <v>4</v>
      </c>
      <c r="I31" s="79" t="s">
        <v>43</v>
      </c>
      <c r="J31" s="82" t="s">
        <v>44</v>
      </c>
      <c r="K31" s="80">
        <f>IF(H31="","",IF(I31="高",IF(J31="删除",H31*'3. 调整因子'!$D$53*'3. 调整因子'!$D$60,IF(J31="修改",H31*'3. 调整因子'!$D$53*'3. 调整因子'!$D$59,H31*'3. 调整因子'!$D$53*'3. 调整因子'!$D$58)),IF(I31="中",IF(J31="删除",H31*'3. 调整因子'!$D$54*'3. 调整因子'!$D$60,IF(J31="修改",H31*'3. 调整因子'!$D$54*'3. 调整因子'!$D$59,H31*'3. 调整因子'!$D$54*'3. 调整因子'!$D$58)),IF(J31="删除",H31*'3. 调整因子'!$D$55*'3. 调整因子'!$D$60,IF(J31="修改",H31*'3. 调整因子'!$D$55*'3. 调整因子'!$D$59,H31*'3. 调整因子'!$D$55*'3. 调整因子'!$D$58)))))</f>
        <v>1.33333333333333</v>
      </c>
      <c r="L31" s="81"/>
    </row>
    <row r="32" customFormat="1" spans="1:12">
      <c r="A32" s="75">
        <f t="shared" si="2"/>
        <v>24</v>
      </c>
      <c r="B32" s="75" t="s">
        <v>38</v>
      </c>
      <c r="C32" s="75" t="s">
        <v>39</v>
      </c>
      <c r="D32" s="75" t="s">
        <v>39</v>
      </c>
      <c r="E32" s="76" t="s">
        <v>40</v>
      </c>
      <c r="F32" s="85" t="s">
        <v>72</v>
      </c>
      <c r="G32" s="86" t="s">
        <v>42</v>
      </c>
      <c r="H32" s="78">
        <f>IF(G32="ILF",'3. 调整因子'!$D$63,IF(G32="EIF",'3. 调整因子'!$D$64,IF(G32="EI",'3. 调整因子'!$D$65,IF(G32="EO",'3. 调整因子'!$D$66,IF(G32="EQ",'3. 调整因子'!$D$67,"")))))</f>
        <v>7</v>
      </c>
      <c r="I32" s="83" t="s">
        <v>61</v>
      </c>
      <c r="J32" s="83" t="s">
        <v>44</v>
      </c>
      <c r="K32" s="80">
        <f>IF(H32="","",IF(I32="高",IF(J32="删除",H32*'3. 调整因子'!$D$53*'3. 调整因子'!$D$60,IF(J32="修改",H32*'3. 调整因子'!$D$53*'3. 调整因子'!$D$59,H32*'3. 调整因子'!$D$53*'3. 调整因子'!$D$58)),IF(I32="中",IF(J32="删除",H32*'3. 调整因子'!$D$54*'3. 调整因子'!$D$60,IF(J32="修改",H32*'3. 调整因子'!$D$54*'3. 调整因子'!$D$59,H32*'3. 调整因子'!$D$54*'3. 调整因子'!$D$58)),IF(J32="删除",H32*'3. 调整因子'!$D$55*'3. 调整因子'!$D$60,IF(J32="修改",H32*'3. 调整因子'!$D$55*'3. 调整因子'!$D$59,H32*'3. 调整因子'!$D$55*'3. 调整因子'!$D$58)))))</f>
        <v>4.66666666666667</v>
      </c>
      <c r="L32" s="81"/>
    </row>
    <row r="33" customFormat="1" spans="1:12">
      <c r="A33" s="75">
        <f t="shared" si="2"/>
        <v>25</v>
      </c>
      <c r="B33" s="75" t="s">
        <v>38</v>
      </c>
      <c r="C33" s="75" t="s">
        <v>39</v>
      </c>
      <c r="D33" s="75" t="s">
        <v>39</v>
      </c>
      <c r="E33" s="76" t="s">
        <v>40</v>
      </c>
      <c r="F33" s="76" t="s">
        <v>73</v>
      </c>
      <c r="G33" s="77" t="s">
        <v>46</v>
      </c>
      <c r="H33" s="78">
        <f>IF(G33="ILF",'3. 调整因子'!$D$63,IF(G33="EIF",'3. 调整因子'!$D$64,IF(G33="EI",'3. 调整因子'!$D$65,IF(G33="EO",'3. 调整因子'!$D$66,IF(G33="EQ",'3. 调整因子'!$D$67,"")))))</f>
        <v>4</v>
      </c>
      <c r="I33" s="79" t="s">
        <v>43</v>
      </c>
      <c r="J33" s="82" t="s">
        <v>44</v>
      </c>
      <c r="K33" s="80">
        <f>IF(H33="","",IF(I33="高",IF(J33="删除",H33*'3. 调整因子'!$D$53*'3. 调整因子'!$D$60,IF(J33="修改",H33*'3. 调整因子'!$D$53*'3. 调整因子'!$D$59,H33*'3. 调整因子'!$D$53*'3. 调整因子'!$D$58)),IF(I33="中",IF(J33="删除",H33*'3. 调整因子'!$D$54*'3. 调整因子'!$D$60,IF(J33="修改",H33*'3. 调整因子'!$D$54*'3. 调整因子'!$D$59,H33*'3. 调整因子'!$D$54*'3. 调整因子'!$D$58)),IF(J33="删除",H33*'3. 调整因子'!$D$55*'3. 调整因子'!$D$60,IF(J33="修改",H33*'3. 调整因子'!$D$55*'3. 调整因子'!$D$59,H33*'3. 调整因子'!$D$55*'3. 调整因子'!$D$58)))))</f>
        <v>1.33333333333333</v>
      </c>
      <c r="L33" s="81"/>
    </row>
    <row r="34" customFormat="1" spans="1:12">
      <c r="A34" s="75">
        <f t="shared" si="2"/>
        <v>26</v>
      </c>
      <c r="B34" s="75" t="s">
        <v>38</v>
      </c>
      <c r="C34" s="75" t="s">
        <v>39</v>
      </c>
      <c r="D34" s="75" t="s">
        <v>39</v>
      </c>
      <c r="E34" s="76" t="s">
        <v>40</v>
      </c>
      <c r="F34" s="76" t="s">
        <v>74</v>
      </c>
      <c r="G34" s="77" t="s">
        <v>54</v>
      </c>
      <c r="H34" s="78">
        <f>IF(G34="ILF",'3. 调整因子'!$D$63,IF(G34="EIF",'3. 调整因子'!$D$64,IF(G34="EI",'3. 调整因子'!$D$65,IF(G34="EO",'3. 调整因子'!$D$66,IF(G34="EQ",'3. 调整因子'!$D$67,"")))))</f>
        <v>5</v>
      </c>
      <c r="I34" s="79" t="s">
        <v>43</v>
      </c>
      <c r="J34" s="82" t="s">
        <v>44</v>
      </c>
      <c r="K34" s="80">
        <f>IF(H34="","",IF(I34="高",IF(J34="删除",H34*'3. 调整因子'!$D$53*'3. 调整因子'!$D$60,IF(J34="修改",H34*'3. 调整因子'!$D$53*'3. 调整因子'!$D$59,H34*'3. 调整因子'!$D$53*'3. 调整因子'!$D$58)),IF(I34="中",IF(J34="删除",H34*'3. 调整因子'!$D$54*'3. 调整因子'!$D$60,IF(J34="修改",H34*'3. 调整因子'!$D$54*'3. 调整因子'!$D$59,H34*'3. 调整因子'!$D$54*'3. 调整因子'!$D$58)),IF(J34="删除",H34*'3. 调整因子'!$D$55*'3. 调整因子'!$D$60,IF(J34="修改",H34*'3. 调整因子'!$D$55*'3. 调整因子'!$D$59,H34*'3. 调整因子'!$D$55*'3. 调整因子'!$D$58)))))</f>
        <v>1.66666666666666</v>
      </c>
      <c r="L34" s="81"/>
    </row>
    <row r="35" customFormat="1" spans="1:12">
      <c r="A35" s="75">
        <f t="shared" si="2"/>
        <v>27</v>
      </c>
      <c r="B35" s="75" t="s">
        <v>38</v>
      </c>
      <c r="C35" s="75" t="s">
        <v>39</v>
      </c>
      <c r="D35" s="75" t="s">
        <v>39</v>
      </c>
      <c r="E35" s="76" t="s">
        <v>40</v>
      </c>
      <c r="F35" s="76" t="s">
        <v>75</v>
      </c>
      <c r="G35" s="77" t="s">
        <v>54</v>
      </c>
      <c r="H35" s="78">
        <f>IF(G35="ILF",'3. 调整因子'!$D$63,IF(G35="EIF",'3. 调整因子'!$D$64,IF(G35="EI",'3. 调整因子'!$D$65,IF(G35="EO",'3. 调整因子'!$D$66,IF(G35="EQ",'3. 调整因子'!$D$67,"")))))</f>
        <v>5</v>
      </c>
      <c r="I35" s="79" t="s">
        <v>43</v>
      </c>
      <c r="J35" s="82" t="s">
        <v>44</v>
      </c>
      <c r="K35" s="80">
        <f>IF(H35="","",IF(I35="高",IF(J35="删除",H35*'3. 调整因子'!$D$53*'3. 调整因子'!$D$60,IF(J35="修改",H35*'3. 调整因子'!$D$53*'3. 调整因子'!$D$59,H35*'3. 调整因子'!$D$53*'3. 调整因子'!$D$58)),IF(I35="中",IF(J35="删除",H35*'3. 调整因子'!$D$54*'3. 调整因子'!$D$60,IF(J35="修改",H35*'3. 调整因子'!$D$54*'3. 调整因子'!$D$59,H35*'3. 调整因子'!$D$54*'3. 调整因子'!$D$58)),IF(J35="删除",H35*'3. 调整因子'!$D$55*'3. 调整因子'!$D$60,IF(J35="修改",H35*'3. 调整因子'!$D$55*'3. 调整因子'!$D$59,H35*'3. 调整因子'!$D$55*'3. 调整因子'!$D$58)))))</f>
        <v>1.66666666666666</v>
      </c>
      <c r="L35" s="81"/>
    </row>
    <row r="36" customFormat="1" spans="1:12">
      <c r="A36" s="75">
        <f t="shared" si="2"/>
        <v>28</v>
      </c>
      <c r="B36" s="75" t="s">
        <v>38</v>
      </c>
      <c r="C36" s="75" t="s">
        <v>39</v>
      </c>
      <c r="D36" s="75" t="s">
        <v>39</v>
      </c>
      <c r="E36" s="76" t="s">
        <v>40</v>
      </c>
      <c r="F36" s="85" t="s">
        <v>76</v>
      </c>
      <c r="G36" s="86" t="s">
        <v>50</v>
      </c>
      <c r="H36" s="78">
        <f>IF(G36="ILF",'3. 调整因子'!$D$63,IF(G36="EIF",'3. 调整因子'!$D$64,IF(G36="EI",'3. 调整因子'!$D$65,IF(G36="EO",'3. 调整因子'!$D$66,IF(G36="EQ",'3. 调整因子'!$D$67,"")))))</f>
        <v>4</v>
      </c>
      <c r="I36" s="83" t="s">
        <v>43</v>
      </c>
      <c r="J36" s="83" t="s">
        <v>44</v>
      </c>
      <c r="K36" s="80">
        <f>IF(H36="","",IF(I36="高",IF(J36="删除",H36*'3. 调整因子'!$D$53*'3. 调整因子'!$D$60,IF(J36="修改",H36*'3. 调整因子'!$D$53*'3. 调整因子'!$D$59,H36*'3. 调整因子'!$D$53*'3. 调整因子'!$D$58)),IF(I36="中",IF(J36="删除",H36*'3. 调整因子'!$D$54*'3. 调整因子'!$D$60,IF(J36="修改",H36*'3. 调整因子'!$D$54*'3. 调整因子'!$D$59,H36*'3. 调整因子'!$D$54*'3. 调整因子'!$D$58)),IF(J36="删除",H36*'3. 调整因子'!$D$55*'3. 调整因子'!$D$60,IF(J36="修改",H36*'3. 调整因子'!$D$55*'3. 调整因子'!$D$59,H36*'3. 调整因子'!$D$55*'3. 调整因子'!$D$58)))))</f>
        <v>1.33333333333333</v>
      </c>
      <c r="L36" s="81"/>
    </row>
    <row r="37" customFormat="1" spans="1:12">
      <c r="A37" s="75">
        <f t="shared" si="2"/>
        <v>29</v>
      </c>
      <c r="B37" s="75" t="s">
        <v>38</v>
      </c>
      <c r="C37" s="75" t="s">
        <v>39</v>
      </c>
      <c r="D37" s="75" t="s">
        <v>39</v>
      </c>
      <c r="E37" s="76" t="s">
        <v>40</v>
      </c>
      <c r="F37" s="76" t="s">
        <v>77</v>
      </c>
      <c r="G37" s="77" t="s">
        <v>54</v>
      </c>
      <c r="H37" s="78">
        <f>IF(G37="ILF",'3. 调整因子'!$D$63,IF(G37="EIF",'3. 调整因子'!$D$64,IF(G37="EI",'3. 调整因子'!$D$65,IF(G37="EO",'3. 调整因子'!$D$66,IF(G37="EQ",'3. 调整因子'!$D$67,"")))))</f>
        <v>5</v>
      </c>
      <c r="I37" s="79" t="s">
        <v>61</v>
      </c>
      <c r="J37" s="82" t="s">
        <v>44</v>
      </c>
      <c r="K37" s="80">
        <f>IF(H37="","",IF(I37="高",IF(J37="删除",H37*'3. 调整因子'!$D$53*'3. 调整因子'!$D$60,IF(J37="修改",H37*'3. 调整因子'!$D$53*'3. 调整因子'!$D$59,H37*'3. 调整因子'!$D$53*'3. 调整因子'!$D$58)),IF(I37="中",IF(J37="删除",H37*'3. 调整因子'!$D$54*'3. 调整因子'!$D$60,IF(J37="修改",H37*'3. 调整因子'!$D$54*'3. 调整因子'!$D$59,H37*'3. 调整因子'!$D$54*'3. 调整因子'!$D$58)),IF(J37="删除",H37*'3. 调整因子'!$D$55*'3. 调整因子'!$D$60,IF(J37="修改",H37*'3. 调整因子'!$D$55*'3. 调整因子'!$D$59,H37*'3. 调整因子'!$D$55*'3. 调整因子'!$D$58)))))</f>
        <v>3.33333333333333</v>
      </c>
      <c r="L37" s="81"/>
    </row>
    <row r="38" customFormat="1" spans="1:12">
      <c r="A38" s="75">
        <f t="shared" si="2"/>
        <v>30</v>
      </c>
      <c r="B38" s="75" t="s">
        <v>38</v>
      </c>
      <c r="C38" s="75" t="s">
        <v>39</v>
      </c>
      <c r="D38" s="75" t="s">
        <v>39</v>
      </c>
      <c r="E38" s="76" t="s">
        <v>40</v>
      </c>
      <c r="F38" s="76" t="s">
        <v>78</v>
      </c>
      <c r="G38" s="77" t="s">
        <v>54</v>
      </c>
      <c r="H38" s="78">
        <f>IF(G38="ILF",'3. 调整因子'!$D$63,IF(G38="EIF",'3. 调整因子'!$D$64,IF(G38="EI",'3. 调整因子'!$D$65,IF(G38="EO",'3. 调整因子'!$D$66,IF(G38="EQ",'3. 调整因子'!$D$67,"")))))</f>
        <v>5</v>
      </c>
      <c r="I38" s="79" t="s">
        <v>61</v>
      </c>
      <c r="J38" s="82" t="s">
        <v>66</v>
      </c>
      <c r="K38" s="80">
        <f>IF(H38="","",IF(I38="高",IF(J38="删除",H38*'3. 调整因子'!$D$53*'3. 调整因子'!$D$60,IF(J38="修改",H38*'3. 调整因子'!$D$53*'3. 调整因子'!$D$59,H38*'3. 调整因子'!$D$53*'3. 调整因子'!$D$58)),IF(I38="中",IF(J38="删除",H38*'3. 调整因子'!$D$54*'3. 调整因子'!$D$60,IF(J38="修改",H38*'3. 调整因子'!$D$54*'3. 调整因子'!$D$59,H38*'3. 调整因子'!$D$54*'3. 调整因子'!$D$58)),IF(J38="删除",H38*'3. 调整因子'!$D$55*'3. 调整因子'!$D$60,IF(J38="修改",H38*'3. 调整因子'!$D$55*'3. 调整因子'!$D$59,H38*'3. 调整因子'!$D$55*'3. 调整因子'!$D$58)))))</f>
        <v>2.66666666666667</v>
      </c>
      <c r="L38" s="81"/>
    </row>
    <row r="39" customFormat="1" spans="1:12">
      <c r="A39" s="75">
        <f t="shared" si="2"/>
        <v>31</v>
      </c>
      <c r="B39" s="75" t="s">
        <v>38</v>
      </c>
      <c r="C39" s="75" t="s">
        <v>39</v>
      </c>
      <c r="D39" s="75" t="s">
        <v>39</v>
      </c>
      <c r="E39" s="76" t="s">
        <v>40</v>
      </c>
      <c r="F39" s="85" t="s">
        <v>79</v>
      </c>
      <c r="G39" s="86" t="s">
        <v>54</v>
      </c>
      <c r="H39" s="78">
        <f>IF(G39="ILF",'3. 调整因子'!$D$63,IF(G39="EIF",'3. 调整因子'!$D$64,IF(G39="EI",'3. 调整因子'!$D$65,IF(G39="EO",'3. 调整因子'!$D$66,IF(G39="EQ",'3. 调整因子'!$D$67,"")))))</f>
        <v>5</v>
      </c>
      <c r="I39" s="83" t="s">
        <v>43</v>
      </c>
      <c r="J39" s="83" t="s">
        <v>66</v>
      </c>
      <c r="K39" s="80">
        <f>IF(H39="","",IF(I39="高",IF(J39="删除",H39*'3. 调整因子'!$D$53*'3. 调整因子'!$D$60,IF(J39="修改",H39*'3. 调整因子'!$D$53*'3. 调整因子'!$D$59,H39*'3. 调整因子'!$D$53*'3. 调整因子'!$D$58)),IF(I39="中",IF(J39="删除",H39*'3. 调整因子'!$D$54*'3. 调整因子'!$D$60,IF(J39="修改",H39*'3. 调整因子'!$D$54*'3. 调整因子'!$D$59,H39*'3. 调整因子'!$D$54*'3. 调整因子'!$D$58)),IF(J39="删除",H39*'3. 调整因子'!$D$55*'3. 调整因子'!$D$60,IF(J39="修改",H39*'3. 调整因子'!$D$55*'3. 调整因子'!$D$59,H39*'3. 调整因子'!$D$55*'3. 调整因子'!$D$58)))))</f>
        <v>1.33333333333333</v>
      </c>
      <c r="L39" s="81"/>
    </row>
    <row r="40" customFormat="1" spans="1:12">
      <c r="A40" s="75">
        <f t="shared" ref="A40:A57" si="3">ROW()-8</f>
        <v>32</v>
      </c>
      <c r="B40" s="75" t="s">
        <v>38</v>
      </c>
      <c r="C40" s="75" t="s">
        <v>39</v>
      </c>
      <c r="D40" s="75" t="s">
        <v>39</v>
      </c>
      <c r="E40" s="76" t="s">
        <v>40</v>
      </c>
      <c r="F40" s="76" t="s">
        <v>80</v>
      </c>
      <c r="G40" s="77" t="s">
        <v>42</v>
      </c>
      <c r="H40" s="78">
        <f>IF(G40="ILF",'3. 调整因子'!$D$63,IF(G40="EIF",'3. 调整因子'!$D$64,IF(G40="EI",'3. 调整因子'!$D$65,IF(G40="EO",'3. 调整因子'!$D$66,IF(G40="EQ",'3. 调整因子'!$D$67,"")))))</f>
        <v>7</v>
      </c>
      <c r="I40" s="79" t="s">
        <v>43</v>
      </c>
      <c r="J40" s="83" t="s">
        <v>66</v>
      </c>
      <c r="K40" s="80">
        <f>IF(H40="","",IF(I40="高",IF(J40="删除",H40*'3. 调整因子'!$D$53*'3. 调整因子'!$D$60,IF(J40="修改",H40*'3. 调整因子'!$D$53*'3. 调整因子'!$D$59,H40*'3. 调整因子'!$D$53*'3. 调整因子'!$D$58)),IF(I40="中",IF(J40="删除",H40*'3. 调整因子'!$D$54*'3. 调整因子'!$D$60,IF(J40="修改",H40*'3. 调整因子'!$D$54*'3. 调整因子'!$D$59,H40*'3. 调整因子'!$D$54*'3. 调整因子'!$D$58)),IF(J40="删除",H40*'3. 调整因子'!$D$55*'3. 调整因子'!$D$60,IF(J40="修改",H40*'3. 调整因子'!$D$55*'3. 调整因子'!$D$59,H40*'3. 调整因子'!$D$55*'3. 调整因子'!$D$58)))))</f>
        <v>1.86666666666666</v>
      </c>
      <c r="L40" s="81"/>
    </row>
    <row r="41" customFormat="1" spans="1:12">
      <c r="A41" s="75">
        <f t="shared" si="3"/>
        <v>33</v>
      </c>
      <c r="B41" s="75" t="s">
        <v>38</v>
      </c>
      <c r="C41" s="75" t="s">
        <v>39</v>
      </c>
      <c r="D41" s="75" t="s">
        <v>39</v>
      </c>
      <c r="E41" s="76" t="s">
        <v>40</v>
      </c>
      <c r="F41" s="76" t="s">
        <v>81</v>
      </c>
      <c r="G41" s="77" t="s">
        <v>54</v>
      </c>
      <c r="H41" s="78">
        <f>IF(G41="ILF",'3. 调整因子'!$D$63,IF(G41="EIF",'3. 调整因子'!$D$64,IF(G41="EI",'3. 调整因子'!$D$65,IF(G41="EO",'3. 调整因子'!$D$66,IF(G41="EQ",'3. 调整因子'!$D$67,"")))))</f>
        <v>5</v>
      </c>
      <c r="I41" s="79" t="s">
        <v>43</v>
      </c>
      <c r="J41" s="82" t="s">
        <v>44</v>
      </c>
      <c r="K41" s="80">
        <f>IF(H41="","",IF(I41="高",IF(J41="删除",H41*'3. 调整因子'!$D$53*'3. 调整因子'!$D$60,IF(J41="修改",H41*'3. 调整因子'!$D$53*'3. 调整因子'!$D$59,H41*'3. 调整因子'!$D$53*'3. 调整因子'!$D$58)),IF(I41="中",IF(J41="删除",H41*'3. 调整因子'!$D$54*'3. 调整因子'!$D$60,IF(J41="修改",H41*'3. 调整因子'!$D$54*'3. 调整因子'!$D$59,H41*'3. 调整因子'!$D$54*'3. 调整因子'!$D$58)),IF(J41="删除",H41*'3. 调整因子'!$D$55*'3. 调整因子'!$D$60,IF(J41="修改",H41*'3. 调整因子'!$D$55*'3. 调整因子'!$D$59,H41*'3. 调整因子'!$D$55*'3. 调整因子'!$D$58)))))</f>
        <v>1.66666666666666</v>
      </c>
      <c r="L41" s="81"/>
    </row>
    <row r="42" customFormat="1" spans="1:12">
      <c r="A42" s="75">
        <f t="shared" si="3"/>
        <v>34</v>
      </c>
      <c r="B42" s="75" t="s">
        <v>38</v>
      </c>
      <c r="C42" s="75" t="s">
        <v>39</v>
      </c>
      <c r="D42" s="75" t="s">
        <v>39</v>
      </c>
      <c r="E42" s="76" t="s">
        <v>40</v>
      </c>
      <c r="F42" s="85" t="s">
        <v>82</v>
      </c>
      <c r="G42" s="86" t="s">
        <v>54</v>
      </c>
      <c r="H42" s="78">
        <f>IF(G42="ILF",'3. 调整因子'!$D$63,IF(G42="EIF",'3. 调整因子'!$D$64,IF(G42="EI",'3. 调整因子'!$D$65,IF(G42="EO",'3. 调整因子'!$D$66,IF(G42="EQ",'3. 调整因子'!$D$67,"")))))</f>
        <v>5</v>
      </c>
      <c r="I42" s="83" t="s">
        <v>43</v>
      </c>
      <c r="J42" s="83" t="s">
        <v>44</v>
      </c>
      <c r="K42" s="80">
        <f>IF(H42="","",IF(I42="高",IF(J42="删除",H42*'3. 调整因子'!$D$53*'3. 调整因子'!$D$60,IF(J42="修改",H42*'3. 调整因子'!$D$53*'3. 调整因子'!$D$59,H42*'3. 调整因子'!$D$53*'3. 调整因子'!$D$58)),IF(I42="中",IF(J42="删除",H42*'3. 调整因子'!$D$54*'3. 调整因子'!$D$60,IF(J42="修改",H42*'3. 调整因子'!$D$54*'3. 调整因子'!$D$59,H42*'3. 调整因子'!$D$54*'3. 调整因子'!$D$58)),IF(J42="删除",H42*'3. 调整因子'!$D$55*'3. 调整因子'!$D$60,IF(J42="修改",H42*'3. 调整因子'!$D$55*'3. 调整因子'!$D$59,H42*'3. 调整因子'!$D$55*'3. 调整因子'!$D$58)))))</f>
        <v>1.66666666666666</v>
      </c>
      <c r="L42" s="81"/>
    </row>
    <row r="43" customFormat="1" spans="1:12">
      <c r="A43" s="75">
        <f t="shared" si="3"/>
        <v>35</v>
      </c>
      <c r="B43" s="75" t="s">
        <v>38</v>
      </c>
      <c r="C43" s="75" t="s">
        <v>39</v>
      </c>
      <c r="D43" s="75" t="s">
        <v>39</v>
      </c>
      <c r="E43" s="76" t="s">
        <v>40</v>
      </c>
      <c r="F43" s="85" t="s">
        <v>83</v>
      </c>
      <c r="G43" s="86" t="s">
        <v>54</v>
      </c>
      <c r="H43" s="78">
        <f>IF(G43="ILF",'3. 调整因子'!$D$63,IF(G43="EIF",'3. 调整因子'!$D$64,IF(G43="EI",'3. 调整因子'!$D$65,IF(G43="EO",'3. 调整因子'!$D$66,IF(G43="EQ",'3. 调整因子'!$D$67,"")))))</f>
        <v>5</v>
      </c>
      <c r="I43" s="83" t="s">
        <v>43</v>
      </c>
      <c r="J43" s="83" t="s">
        <v>44</v>
      </c>
      <c r="K43" s="80">
        <f>IF(H43="","",IF(I43="高",IF(J43="删除",H43*'3. 调整因子'!$D$53*'3. 调整因子'!$D$60,IF(J43="修改",H43*'3. 调整因子'!$D$53*'3. 调整因子'!$D$59,H43*'3. 调整因子'!$D$53*'3. 调整因子'!$D$58)),IF(I43="中",IF(J43="删除",H43*'3. 调整因子'!$D$54*'3. 调整因子'!$D$60,IF(J43="修改",H43*'3. 调整因子'!$D$54*'3. 调整因子'!$D$59,H43*'3. 调整因子'!$D$54*'3. 调整因子'!$D$58)),IF(J43="删除",H43*'3. 调整因子'!$D$55*'3. 调整因子'!$D$60,IF(J43="修改",H43*'3. 调整因子'!$D$55*'3. 调整因子'!$D$59,H43*'3. 调整因子'!$D$55*'3. 调整因子'!$D$58)))))</f>
        <v>1.66666666666666</v>
      </c>
      <c r="L43" s="81"/>
    </row>
    <row r="44" customFormat="1" spans="1:12">
      <c r="A44" s="75">
        <f t="shared" si="3"/>
        <v>36</v>
      </c>
      <c r="B44" s="75" t="s">
        <v>38</v>
      </c>
      <c r="C44" s="75" t="s">
        <v>39</v>
      </c>
      <c r="D44" s="75" t="s">
        <v>39</v>
      </c>
      <c r="E44" s="76" t="s">
        <v>40</v>
      </c>
      <c r="F44" s="85" t="s">
        <v>84</v>
      </c>
      <c r="G44" s="86" t="s">
        <v>54</v>
      </c>
      <c r="H44" s="78">
        <f>IF(G44="ILF",'3. 调整因子'!$D$63,IF(G44="EIF",'3. 调整因子'!$D$64,IF(G44="EI",'3. 调整因子'!$D$65,IF(G44="EO",'3. 调整因子'!$D$66,IF(G44="EQ",'3. 调整因子'!$D$67,"")))))</f>
        <v>5</v>
      </c>
      <c r="I44" s="83" t="s">
        <v>43</v>
      </c>
      <c r="J44" s="83" t="s">
        <v>44</v>
      </c>
      <c r="K44" s="80">
        <f>IF(H44="","",IF(I44="高",IF(J44="删除",H44*'3. 调整因子'!$D$53*'3. 调整因子'!$D$60,IF(J44="修改",H44*'3. 调整因子'!$D$53*'3. 调整因子'!$D$59,H44*'3. 调整因子'!$D$53*'3. 调整因子'!$D$58)),IF(I44="中",IF(J44="删除",H44*'3. 调整因子'!$D$54*'3. 调整因子'!$D$60,IF(J44="修改",H44*'3. 调整因子'!$D$54*'3. 调整因子'!$D$59,H44*'3. 调整因子'!$D$54*'3. 调整因子'!$D$58)),IF(J44="删除",H44*'3. 调整因子'!$D$55*'3. 调整因子'!$D$60,IF(J44="修改",H44*'3. 调整因子'!$D$55*'3. 调整因子'!$D$59,H44*'3. 调整因子'!$D$55*'3. 调整因子'!$D$58)))))</f>
        <v>1.66666666666666</v>
      </c>
      <c r="L44" s="81"/>
    </row>
    <row r="45" customFormat="1" spans="1:12">
      <c r="A45" s="75">
        <f t="shared" si="3"/>
        <v>37</v>
      </c>
      <c r="B45" s="75" t="s">
        <v>38</v>
      </c>
      <c r="C45" s="75" t="s">
        <v>39</v>
      </c>
      <c r="D45" s="75" t="s">
        <v>39</v>
      </c>
      <c r="E45" s="76" t="s">
        <v>40</v>
      </c>
      <c r="F45" s="85" t="s">
        <v>85</v>
      </c>
      <c r="G45" s="86" t="s">
        <v>54</v>
      </c>
      <c r="H45" s="78">
        <f>IF(G45="ILF",'3. 调整因子'!$D$63,IF(G45="EIF",'3. 调整因子'!$D$64,IF(G45="EI",'3. 调整因子'!$D$65,IF(G45="EO",'3. 调整因子'!$D$66,IF(G45="EQ",'3. 调整因子'!$D$67,"")))))</f>
        <v>5</v>
      </c>
      <c r="I45" s="83" t="s">
        <v>43</v>
      </c>
      <c r="J45" s="83" t="s">
        <v>44</v>
      </c>
      <c r="K45" s="80">
        <f>IF(H45="","",IF(I45="高",IF(J45="删除",H45*'3. 调整因子'!$D$53*'3. 调整因子'!$D$60,IF(J45="修改",H45*'3. 调整因子'!$D$53*'3. 调整因子'!$D$59,H45*'3. 调整因子'!$D$53*'3. 调整因子'!$D$58)),IF(I45="中",IF(J45="删除",H45*'3. 调整因子'!$D$54*'3. 调整因子'!$D$60,IF(J45="修改",H45*'3. 调整因子'!$D$54*'3. 调整因子'!$D$59,H45*'3. 调整因子'!$D$54*'3. 调整因子'!$D$58)),IF(J45="删除",H45*'3. 调整因子'!$D$55*'3. 调整因子'!$D$60,IF(J45="修改",H45*'3. 调整因子'!$D$55*'3. 调整因子'!$D$59,H45*'3. 调整因子'!$D$55*'3. 调整因子'!$D$58)))))</f>
        <v>1.66666666666666</v>
      </c>
      <c r="L45" s="81"/>
    </row>
    <row r="46" customFormat="1" spans="1:12">
      <c r="A46" s="75">
        <f t="shared" si="3"/>
        <v>38</v>
      </c>
      <c r="B46" s="75" t="s">
        <v>38</v>
      </c>
      <c r="C46" s="75" t="s">
        <v>39</v>
      </c>
      <c r="D46" s="75" t="s">
        <v>39</v>
      </c>
      <c r="E46" s="76" t="s">
        <v>40</v>
      </c>
      <c r="F46" s="76" t="s">
        <v>86</v>
      </c>
      <c r="G46" s="77" t="s">
        <v>42</v>
      </c>
      <c r="H46" s="78">
        <f>IF(G46="ILF",'3. 调整因子'!$D$63,IF(G46="EIF",'3. 调整因子'!$D$64,IF(G46="EI",'3. 调整因子'!$D$65,IF(G46="EO",'3. 调整因子'!$D$66,IF(G46="EQ",'3. 调整因子'!$D$67,"")))))</f>
        <v>7</v>
      </c>
      <c r="I46" s="79" t="s">
        <v>43</v>
      </c>
      <c r="J46" s="82" t="s">
        <v>44</v>
      </c>
      <c r="K46" s="80">
        <f>IF(H46="","",IF(I46="高",IF(J46="删除",H46*'3. 调整因子'!$D$53*'3. 调整因子'!$D$60,IF(J46="修改",H46*'3. 调整因子'!$D$53*'3. 调整因子'!$D$59,H46*'3. 调整因子'!$D$53*'3. 调整因子'!$D$58)),IF(I46="中",IF(J46="删除",H46*'3. 调整因子'!$D$54*'3. 调整因子'!$D$60,IF(J46="修改",H46*'3. 调整因子'!$D$54*'3. 调整因子'!$D$59,H46*'3. 调整因子'!$D$54*'3. 调整因子'!$D$58)),IF(J46="删除",H46*'3. 调整因子'!$D$55*'3. 调整因子'!$D$60,IF(J46="修改",H46*'3. 调整因子'!$D$55*'3. 调整因子'!$D$59,H46*'3. 调整因子'!$D$55*'3. 调整因子'!$D$58)))))</f>
        <v>2.33333333333333</v>
      </c>
      <c r="L46" s="81"/>
    </row>
    <row r="47" customFormat="1" spans="1:12">
      <c r="A47" s="75">
        <f t="shared" si="3"/>
        <v>39</v>
      </c>
      <c r="B47" s="75" t="s">
        <v>38</v>
      </c>
      <c r="C47" s="75" t="s">
        <v>39</v>
      </c>
      <c r="D47" s="75" t="s">
        <v>39</v>
      </c>
      <c r="E47" s="76" t="s">
        <v>40</v>
      </c>
      <c r="F47" s="76" t="s">
        <v>87</v>
      </c>
      <c r="G47" s="77" t="s">
        <v>54</v>
      </c>
      <c r="H47" s="78">
        <f>IF(G47="ILF",'3. 调整因子'!$D$63,IF(G47="EIF",'3. 调整因子'!$D$64,IF(G47="EI",'3. 调整因子'!$D$65,IF(G47="EO",'3. 调整因子'!$D$66,IF(G47="EQ",'3. 调整因子'!$D$67,"")))))</f>
        <v>5</v>
      </c>
      <c r="I47" s="79" t="s">
        <v>43</v>
      </c>
      <c r="J47" s="82" t="s">
        <v>44</v>
      </c>
      <c r="K47" s="80">
        <f>IF(H47="","",IF(I47="高",IF(J47="删除",H47*'3. 调整因子'!$D$53*'3. 调整因子'!$D$60,IF(J47="修改",H47*'3. 调整因子'!$D$53*'3. 调整因子'!$D$59,H47*'3. 调整因子'!$D$53*'3. 调整因子'!$D$58)),IF(I47="中",IF(J47="删除",H47*'3. 调整因子'!$D$54*'3. 调整因子'!$D$60,IF(J47="修改",H47*'3. 调整因子'!$D$54*'3. 调整因子'!$D$59,H47*'3. 调整因子'!$D$54*'3. 调整因子'!$D$58)),IF(J47="删除",H47*'3. 调整因子'!$D$55*'3. 调整因子'!$D$60,IF(J47="修改",H47*'3. 调整因子'!$D$55*'3. 调整因子'!$D$59,H47*'3. 调整因子'!$D$55*'3. 调整因子'!$D$58)))))</f>
        <v>1.66666666666666</v>
      </c>
      <c r="L47" s="81"/>
    </row>
    <row r="48" customFormat="1" spans="1:12">
      <c r="A48" s="75">
        <f t="shared" si="3"/>
        <v>40</v>
      </c>
      <c r="B48" s="75" t="s">
        <v>38</v>
      </c>
      <c r="C48" s="75" t="s">
        <v>39</v>
      </c>
      <c r="D48" s="75" t="s">
        <v>39</v>
      </c>
      <c r="E48" s="76" t="s">
        <v>40</v>
      </c>
      <c r="F48" s="76" t="s">
        <v>88</v>
      </c>
      <c r="G48" s="77" t="s">
        <v>54</v>
      </c>
      <c r="H48" s="78">
        <f>IF(G48="ILF",'3. 调整因子'!$D$63,IF(G48="EIF",'3. 调整因子'!$D$64,IF(G48="EI",'3. 调整因子'!$D$65,IF(G48="EO",'3. 调整因子'!$D$66,IF(G48="EQ",'3. 调整因子'!$D$67,"")))))</f>
        <v>5</v>
      </c>
      <c r="I48" s="79" t="s">
        <v>43</v>
      </c>
      <c r="J48" s="82" t="s">
        <v>44</v>
      </c>
      <c r="K48" s="80">
        <f>IF(H48="","",IF(I48="高",IF(J48="删除",H48*'3. 调整因子'!$D$53*'3. 调整因子'!$D$60,IF(J48="修改",H48*'3. 调整因子'!$D$53*'3. 调整因子'!$D$59,H48*'3. 调整因子'!$D$53*'3. 调整因子'!$D$58)),IF(I48="中",IF(J48="删除",H48*'3. 调整因子'!$D$54*'3. 调整因子'!$D$60,IF(J48="修改",H48*'3. 调整因子'!$D$54*'3. 调整因子'!$D$59,H48*'3. 调整因子'!$D$54*'3. 调整因子'!$D$58)),IF(J48="删除",H48*'3. 调整因子'!$D$55*'3. 调整因子'!$D$60,IF(J48="修改",H48*'3. 调整因子'!$D$55*'3. 调整因子'!$D$59,H48*'3. 调整因子'!$D$55*'3. 调整因子'!$D$58)))))</f>
        <v>1.66666666666666</v>
      </c>
      <c r="L48" s="81"/>
    </row>
    <row r="49" customFormat="1" spans="1:12">
      <c r="A49" s="75">
        <f t="shared" si="3"/>
        <v>41</v>
      </c>
      <c r="B49" s="75" t="s">
        <v>38</v>
      </c>
      <c r="C49" s="75" t="s">
        <v>39</v>
      </c>
      <c r="D49" s="75" t="s">
        <v>39</v>
      </c>
      <c r="E49" s="76" t="s">
        <v>40</v>
      </c>
      <c r="F49" s="76" t="s">
        <v>89</v>
      </c>
      <c r="G49" s="77" t="s">
        <v>42</v>
      </c>
      <c r="H49" s="78">
        <f>IF(G49="ILF",'3. 调整因子'!$D$63,IF(G49="EIF",'3. 调整因子'!$D$64,IF(G49="EI",'3. 调整因子'!$D$65,IF(G49="EO",'3. 调整因子'!$D$66,IF(G49="EQ",'3. 调整因子'!$D$67,"")))))</f>
        <v>7</v>
      </c>
      <c r="I49" s="79" t="s">
        <v>43</v>
      </c>
      <c r="J49" s="82" t="s">
        <v>44</v>
      </c>
      <c r="K49" s="80">
        <f>IF(H49="","",IF(I49="高",IF(J49="删除",H49*'3. 调整因子'!$D$53*'3. 调整因子'!$D$60,IF(J49="修改",H49*'3. 调整因子'!$D$53*'3. 调整因子'!$D$59,H49*'3. 调整因子'!$D$53*'3. 调整因子'!$D$58)),IF(I49="中",IF(J49="删除",H49*'3. 调整因子'!$D$54*'3. 调整因子'!$D$60,IF(J49="修改",H49*'3. 调整因子'!$D$54*'3. 调整因子'!$D$59,H49*'3. 调整因子'!$D$54*'3. 调整因子'!$D$58)),IF(J49="删除",H49*'3. 调整因子'!$D$55*'3. 调整因子'!$D$60,IF(J49="修改",H49*'3. 调整因子'!$D$55*'3. 调整因子'!$D$59,H49*'3. 调整因子'!$D$55*'3. 调整因子'!$D$58)))))</f>
        <v>2.33333333333333</v>
      </c>
      <c r="L49" s="81"/>
    </row>
    <row r="50" customFormat="1" spans="1:12">
      <c r="A50" s="75">
        <f t="shared" si="3"/>
        <v>42</v>
      </c>
      <c r="B50" s="75" t="s">
        <v>38</v>
      </c>
      <c r="C50" s="75" t="s">
        <v>39</v>
      </c>
      <c r="D50" s="75" t="s">
        <v>39</v>
      </c>
      <c r="E50" s="76" t="s">
        <v>40</v>
      </c>
      <c r="F50" s="76" t="s">
        <v>90</v>
      </c>
      <c r="G50" s="77" t="s">
        <v>54</v>
      </c>
      <c r="H50" s="78">
        <f>IF(G50="ILF",'3. 调整因子'!$D$63,IF(G50="EIF",'3. 调整因子'!$D$64,IF(G50="EI",'3. 调整因子'!$D$65,IF(G50="EO",'3. 调整因子'!$D$66,IF(G50="EQ",'3. 调整因子'!$D$67,"")))))</f>
        <v>5</v>
      </c>
      <c r="I50" s="79" t="s">
        <v>43</v>
      </c>
      <c r="J50" s="82" t="s">
        <v>44</v>
      </c>
      <c r="K50" s="80">
        <f>IF(H50="","",IF(I50="高",IF(J50="删除",H50*'3. 调整因子'!$D$53*'3. 调整因子'!$D$60,IF(J50="修改",H50*'3. 调整因子'!$D$53*'3. 调整因子'!$D$59,H50*'3. 调整因子'!$D$53*'3. 调整因子'!$D$58)),IF(I50="中",IF(J50="删除",H50*'3. 调整因子'!$D$54*'3. 调整因子'!$D$60,IF(J50="修改",H50*'3. 调整因子'!$D$54*'3. 调整因子'!$D$59,H50*'3. 调整因子'!$D$54*'3. 调整因子'!$D$58)),IF(J50="删除",H50*'3. 调整因子'!$D$55*'3. 调整因子'!$D$60,IF(J50="修改",H50*'3. 调整因子'!$D$55*'3. 调整因子'!$D$59,H50*'3. 调整因子'!$D$55*'3. 调整因子'!$D$58)))))</f>
        <v>1.66666666666666</v>
      </c>
      <c r="L50" s="81"/>
    </row>
    <row r="51" customFormat="1" spans="1:12">
      <c r="A51" s="75">
        <f t="shared" si="3"/>
        <v>43</v>
      </c>
      <c r="B51" s="75" t="s">
        <v>38</v>
      </c>
      <c r="C51" s="75" t="s">
        <v>39</v>
      </c>
      <c r="D51" s="75" t="s">
        <v>39</v>
      </c>
      <c r="E51" s="76" t="s">
        <v>40</v>
      </c>
      <c r="F51" s="76" t="s">
        <v>91</v>
      </c>
      <c r="G51" s="77" t="s">
        <v>54</v>
      </c>
      <c r="H51" s="78">
        <f>IF(G51="ILF",'3. 调整因子'!$D$63,IF(G51="EIF",'3. 调整因子'!$D$64,IF(G51="EI",'3. 调整因子'!$D$65,IF(G51="EO",'3. 调整因子'!$D$66,IF(G51="EQ",'3. 调整因子'!$D$67,"")))))</f>
        <v>5</v>
      </c>
      <c r="I51" s="79" t="s">
        <v>43</v>
      </c>
      <c r="J51" s="82" t="s">
        <v>44</v>
      </c>
      <c r="K51" s="80">
        <f>IF(H51="","",IF(I51="高",IF(J51="删除",H51*'3. 调整因子'!$D$53*'3. 调整因子'!$D$60,IF(J51="修改",H51*'3. 调整因子'!$D$53*'3. 调整因子'!$D$59,H51*'3. 调整因子'!$D$53*'3. 调整因子'!$D$58)),IF(I51="中",IF(J51="删除",H51*'3. 调整因子'!$D$54*'3. 调整因子'!$D$60,IF(J51="修改",H51*'3. 调整因子'!$D$54*'3. 调整因子'!$D$59,H51*'3. 调整因子'!$D$54*'3. 调整因子'!$D$58)),IF(J51="删除",H51*'3. 调整因子'!$D$55*'3. 调整因子'!$D$60,IF(J51="修改",H51*'3. 调整因子'!$D$55*'3. 调整因子'!$D$59,H51*'3. 调整因子'!$D$55*'3. 调整因子'!$D$58)))))</f>
        <v>1.66666666666666</v>
      </c>
      <c r="L51" s="81"/>
    </row>
    <row r="52" customFormat="1" spans="1:12">
      <c r="A52" s="75">
        <f t="shared" si="3"/>
        <v>44</v>
      </c>
      <c r="B52" s="75" t="s">
        <v>38</v>
      </c>
      <c r="C52" s="75" t="s">
        <v>39</v>
      </c>
      <c r="D52" s="75" t="s">
        <v>39</v>
      </c>
      <c r="E52" s="76" t="s">
        <v>40</v>
      </c>
      <c r="F52" s="76" t="s">
        <v>92</v>
      </c>
      <c r="G52" s="77" t="s">
        <v>42</v>
      </c>
      <c r="H52" s="78">
        <f>IF(G52="ILF",'3. 调整因子'!$D$63,IF(G52="EIF",'3. 调整因子'!$D$64,IF(G52="EI",'3. 调整因子'!$D$65,IF(G52="EO",'3. 调整因子'!$D$66,IF(G52="EQ",'3. 调整因子'!$D$67,"")))))</f>
        <v>7</v>
      </c>
      <c r="I52" s="79" t="s">
        <v>43</v>
      </c>
      <c r="J52" s="82" t="s">
        <v>44</v>
      </c>
      <c r="K52" s="80">
        <f>IF(H52="","",IF(I52="高",IF(J52="删除",H52*'3. 调整因子'!$D$53*'3. 调整因子'!$D$60,IF(J52="修改",H52*'3. 调整因子'!$D$53*'3. 调整因子'!$D$59,H52*'3. 调整因子'!$D$53*'3. 调整因子'!$D$58)),IF(I52="中",IF(J52="删除",H52*'3. 调整因子'!$D$54*'3. 调整因子'!$D$60,IF(J52="修改",H52*'3. 调整因子'!$D$54*'3. 调整因子'!$D$59,H52*'3. 调整因子'!$D$54*'3. 调整因子'!$D$58)),IF(J52="删除",H52*'3. 调整因子'!$D$55*'3. 调整因子'!$D$60,IF(J52="修改",H52*'3. 调整因子'!$D$55*'3. 调整因子'!$D$59,H52*'3. 调整因子'!$D$55*'3. 调整因子'!$D$58)))))</f>
        <v>2.33333333333333</v>
      </c>
      <c r="L52" s="81"/>
    </row>
    <row r="53" customFormat="1" spans="1:12">
      <c r="A53" s="75">
        <f t="shared" si="3"/>
        <v>45</v>
      </c>
      <c r="B53" s="75" t="s">
        <v>38</v>
      </c>
      <c r="C53" s="75" t="s">
        <v>39</v>
      </c>
      <c r="D53" s="75" t="s">
        <v>39</v>
      </c>
      <c r="E53" s="76" t="s">
        <v>40</v>
      </c>
      <c r="F53" s="76" t="s">
        <v>93</v>
      </c>
      <c r="G53" s="77" t="s">
        <v>54</v>
      </c>
      <c r="H53" s="78">
        <f>IF(G53="ILF",'3. 调整因子'!$D$63,IF(G53="EIF",'3. 调整因子'!$D$64,IF(G53="EI",'3. 调整因子'!$D$65,IF(G53="EO",'3. 调整因子'!$D$66,IF(G53="EQ",'3. 调整因子'!$D$67,"")))))</f>
        <v>5</v>
      </c>
      <c r="I53" s="79" t="s">
        <v>43</v>
      </c>
      <c r="J53" s="82" t="s">
        <v>44</v>
      </c>
      <c r="K53" s="80">
        <f>IF(H53="","",IF(I53="高",IF(J53="删除",H53*'3. 调整因子'!$D$53*'3. 调整因子'!$D$60,IF(J53="修改",H53*'3. 调整因子'!$D$53*'3. 调整因子'!$D$59,H53*'3. 调整因子'!$D$53*'3. 调整因子'!$D$58)),IF(I53="中",IF(J53="删除",H53*'3. 调整因子'!$D$54*'3. 调整因子'!$D$60,IF(J53="修改",H53*'3. 调整因子'!$D$54*'3. 调整因子'!$D$59,H53*'3. 调整因子'!$D$54*'3. 调整因子'!$D$58)),IF(J53="删除",H53*'3. 调整因子'!$D$55*'3. 调整因子'!$D$60,IF(J53="修改",H53*'3. 调整因子'!$D$55*'3. 调整因子'!$D$59,H53*'3. 调整因子'!$D$55*'3. 调整因子'!$D$58)))))</f>
        <v>1.66666666666666</v>
      </c>
      <c r="L53" s="81"/>
    </row>
    <row r="54" customFormat="1" spans="1:12">
      <c r="A54" s="75">
        <f t="shared" si="3"/>
        <v>46</v>
      </c>
      <c r="B54" s="75" t="s">
        <v>38</v>
      </c>
      <c r="C54" s="75" t="s">
        <v>39</v>
      </c>
      <c r="D54" s="75" t="s">
        <v>39</v>
      </c>
      <c r="E54" s="76" t="s">
        <v>40</v>
      </c>
      <c r="F54" s="76" t="s">
        <v>94</v>
      </c>
      <c r="G54" s="77" t="s">
        <v>54</v>
      </c>
      <c r="H54" s="78">
        <f>IF(G54="ILF",'3. 调整因子'!$D$63,IF(G54="EIF",'3. 调整因子'!$D$64,IF(G54="EI",'3. 调整因子'!$D$65,IF(G54="EO",'3. 调整因子'!$D$66,IF(G54="EQ",'3. 调整因子'!$D$67,"")))))</f>
        <v>5</v>
      </c>
      <c r="I54" s="79" t="s">
        <v>43</v>
      </c>
      <c r="J54" s="82" t="s">
        <v>44</v>
      </c>
      <c r="K54" s="80">
        <f>IF(H54="","",IF(I54="高",IF(J54="删除",H54*'3. 调整因子'!$D$53*'3. 调整因子'!$D$60,IF(J54="修改",H54*'3. 调整因子'!$D$53*'3. 调整因子'!$D$59,H54*'3. 调整因子'!$D$53*'3. 调整因子'!$D$58)),IF(I54="中",IF(J54="删除",H54*'3. 调整因子'!$D$54*'3. 调整因子'!$D$60,IF(J54="修改",H54*'3. 调整因子'!$D$54*'3. 调整因子'!$D$59,H54*'3. 调整因子'!$D$54*'3. 调整因子'!$D$58)),IF(J54="删除",H54*'3. 调整因子'!$D$55*'3. 调整因子'!$D$60,IF(J54="修改",H54*'3. 调整因子'!$D$55*'3. 调整因子'!$D$59,H54*'3. 调整因子'!$D$55*'3. 调整因子'!$D$58)))))</f>
        <v>1.66666666666666</v>
      </c>
      <c r="L54" s="81"/>
    </row>
    <row r="55" customFormat="1" spans="1:12">
      <c r="A55" s="75">
        <f t="shared" si="3"/>
        <v>47</v>
      </c>
      <c r="B55" s="75" t="s">
        <v>38</v>
      </c>
      <c r="C55" s="75" t="s">
        <v>39</v>
      </c>
      <c r="D55" s="75" t="s">
        <v>39</v>
      </c>
      <c r="E55" s="76" t="s">
        <v>40</v>
      </c>
      <c r="F55" s="76" t="s">
        <v>95</v>
      </c>
      <c r="G55" s="77" t="s">
        <v>54</v>
      </c>
      <c r="H55" s="78">
        <f>IF(G55="ILF",'3. 调整因子'!$D$63,IF(G55="EIF",'3. 调整因子'!$D$64,IF(G55="EI",'3. 调整因子'!$D$65,IF(G55="EO",'3. 调整因子'!$D$66,IF(G55="EQ",'3. 调整因子'!$D$67,"")))))</f>
        <v>5</v>
      </c>
      <c r="I55" s="79" t="s">
        <v>61</v>
      </c>
      <c r="J55" s="82" t="s">
        <v>44</v>
      </c>
      <c r="K55" s="80">
        <f>IF(H55="","",IF(I55="高",IF(J55="删除",H55*'3. 调整因子'!$D$53*'3. 调整因子'!$D$60,IF(J55="修改",H55*'3. 调整因子'!$D$53*'3. 调整因子'!$D$59,H55*'3. 调整因子'!$D$53*'3. 调整因子'!$D$58)),IF(I55="中",IF(J55="删除",H55*'3. 调整因子'!$D$54*'3. 调整因子'!$D$60,IF(J55="修改",H55*'3. 调整因子'!$D$54*'3. 调整因子'!$D$59,H55*'3. 调整因子'!$D$54*'3. 调整因子'!$D$58)),IF(J55="删除",H55*'3. 调整因子'!$D$55*'3. 调整因子'!$D$60,IF(J55="修改",H55*'3. 调整因子'!$D$55*'3. 调整因子'!$D$59,H55*'3. 调整因子'!$D$55*'3. 调整因子'!$D$58)))))</f>
        <v>3.33333333333333</v>
      </c>
      <c r="L55" s="81"/>
    </row>
    <row r="56" customFormat="1" spans="1:12">
      <c r="A56" s="75">
        <f t="shared" si="3"/>
        <v>48</v>
      </c>
      <c r="B56" s="75" t="s">
        <v>38</v>
      </c>
      <c r="C56" s="75" t="s">
        <v>39</v>
      </c>
      <c r="D56" s="75" t="s">
        <v>39</v>
      </c>
      <c r="E56" s="76" t="s">
        <v>40</v>
      </c>
      <c r="F56" s="85" t="s">
        <v>96</v>
      </c>
      <c r="G56" s="86" t="s">
        <v>54</v>
      </c>
      <c r="H56" s="78">
        <f>IF(G56="ILF",'3. 调整因子'!$D$63,IF(G56="EIF",'3. 调整因子'!$D$64,IF(G56="EI",'3. 调整因子'!$D$65,IF(G56="EO",'3. 调整因子'!$D$66,IF(G56="EQ",'3. 调整因子'!$D$67,"")))))</f>
        <v>5</v>
      </c>
      <c r="I56" s="83" t="s">
        <v>43</v>
      </c>
      <c r="J56" s="83" t="s">
        <v>44</v>
      </c>
      <c r="K56" s="80">
        <f>IF(H56="","",IF(I56="高",IF(J56="删除",H56*'3. 调整因子'!$D$53*'3. 调整因子'!$D$60,IF(J56="修改",H56*'3. 调整因子'!$D$53*'3. 调整因子'!$D$59,H56*'3. 调整因子'!$D$53*'3. 调整因子'!$D$58)),IF(I56="中",IF(J56="删除",H56*'3. 调整因子'!$D$54*'3. 调整因子'!$D$60,IF(J56="修改",H56*'3. 调整因子'!$D$54*'3. 调整因子'!$D$59,H56*'3. 调整因子'!$D$54*'3. 调整因子'!$D$58)),IF(J56="删除",H56*'3. 调整因子'!$D$55*'3. 调整因子'!$D$60,IF(J56="修改",H56*'3. 调整因子'!$D$55*'3. 调整因子'!$D$59,H56*'3. 调整因子'!$D$55*'3. 调整因子'!$D$58)))))</f>
        <v>1.66666666666666</v>
      </c>
      <c r="L56" s="81"/>
    </row>
    <row r="57" customFormat="1" spans="1:12">
      <c r="A57" s="75">
        <f t="shared" si="3"/>
        <v>49</v>
      </c>
      <c r="B57" s="75" t="s">
        <v>38</v>
      </c>
      <c r="C57" s="75" t="s">
        <v>39</v>
      </c>
      <c r="D57" s="75" t="s">
        <v>39</v>
      </c>
      <c r="E57" s="76" t="s">
        <v>40</v>
      </c>
      <c r="F57" s="85" t="s">
        <v>97</v>
      </c>
      <c r="G57" s="86" t="s">
        <v>54</v>
      </c>
      <c r="H57" s="78">
        <f>IF(G57="ILF",'3. 调整因子'!$D$63,IF(G57="EIF",'3. 调整因子'!$D$64,IF(G57="EI",'3. 调整因子'!$D$65,IF(G57="EO",'3. 调整因子'!$D$66,IF(G57="EQ",'3. 调整因子'!$D$67,"")))))</f>
        <v>5</v>
      </c>
      <c r="I57" s="83" t="s">
        <v>43</v>
      </c>
      <c r="J57" s="83" t="s">
        <v>44</v>
      </c>
      <c r="K57" s="80">
        <f>IF(H57="","",IF(I57="高",IF(J57="删除",H57*'3. 调整因子'!$D$53*'3. 调整因子'!$D$60,IF(J57="修改",H57*'3. 调整因子'!$D$53*'3. 调整因子'!$D$59,H57*'3. 调整因子'!$D$53*'3. 调整因子'!$D$58)),IF(I57="中",IF(J57="删除",H57*'3. 调整因子'!$D$54*'3. 调整因子'!$D$60,IF(J57="修改",H57*'3. 调整因子'!$D$54*'3. 调整因子'!$D$59,H57*'3. 调整因子'!$D$54*'3. 调整因子'!$D$58)),IF(J57="删除",H57*'3. 调整因子'!$D$55*'3. 调整因子'!$D$60,IF(J57="修改",H57*'3. 调整因子'!$D$55*'3. 调整因子'!$D$59,H57*'3. 调整因子'!$D$55*'3. 调整因子'!$D$58)))))</f>
        <v>1.66666666666666</v>
      </c>
      <c r="L57" s="81"/>
    </row>
    <row r="58" customFormat="1" spans="1:12">
      <c r="A58" s="75">
        <f t="shared" ref="A58:A67" si="4">ROW()-8</f>
        <v>50</v>
      </c>
      <c r="B58" s="75" t="s">
        <v>38</v>
      </c>
      <c r="C58" s="75" t="s">
        <v>39</v>
      </c>
      <c r="D58" s="75" t="s">
        <v>39</v>
      </c>
      <c r="E58" s="76" t="s">
        <v>40</v>
      </c>
      <c r="F58" s="76" t="s">
        <v>98</v>
      </c>
      <c r="G58" s="77" t="s">
        <v>54</v>
      </c>
      <c r="H58" s="78">
        <f>IF(G58="ILF",'3. 调整因子'!$D$63,IF(G58="EIF",'3. 调整因子'!$D$64,IF(G58="EI",'3. 调整因子'!$D$65,IF(G58="EO",'3. 调整因子'!$D$66,IF(G58="EQ",'3. 调整因子'!$D$67,"")))))</f>
        <v>5</v>
      </c>
      <c r="I58" s="79" t="s">
        <v>61</v>
      </c>
      <c r="J58" s="82" t="s">
        <v>44</v>
      </c>
      <c r="K58" s="80">
        <f>IF(H58="","",IF(I58="高",IF(J58="删除",H58*'3. 调整因子'!$D$53*'3. 调整因子'!$D$60,IF(J58="修改",H58*'3. 调整因子'!$D$53*'3. 调整因子'!$D$59,H58*'3. 调整因子'!$D$53*'3. 调整因子'!$D$58)),IF(I58="中",IF(J58="删除",H58*'3. 调整因子'!$D$54*'3. 调整因子'!$D$60,IF(J58="修改",H58*'3. 调整因子'!$D$54*'3. 调整因子'!$D$59,H58*'3. 调整因子'!$D$54*'3. 调整因子'!$D$58)),IF(J58="删除",H58*'3. 调整因子'!$D$55*'3. 调整因子'!$D$60,IF(J58="修改",H58*'3. 调整因子'!$D$55*'3. 调整因子'!$D$59,H58*'3. 调整因子'!$D$55*'3. 调整因子'!$D$58)))))</f>
        <v>3.33333333333333</v>
      </c>
      <c r="L58" s="81"/>
    </row>
    <row r="59" customFormat="1" spans="1:12">
      <c r="A59" s="75">
        <f t="shared" si="4"/>
        <v>51</v>
      </c>
      <c r="B59" s="75" t="s">
        <v>38</v>
      </c>
      <c r="C59" s="75" t="s">
        <v>39</v>
      </c>
      <c r="D59" s="75" t="s">
        <v>39</v>
      </c>
      <c r="E59" s="76" t="s">
        <v>40</v>
      </c>
      <c r="F59" s="76" t="s">
        <v>99</v>
      </c>
      <c r="G59" s="77" t="s">
        <v>54</v>
      </c>
      <c r="H59" s="78">
        <f>IF(G59="ILF",'3. 调整因子'!$D$63,IF(G59="EIF",'3. 调整因子'!$D$64,IF(G59="EI",'3. 调整因子'!$D$65,IF(G59="EO",'3. 调整因子'!$D$66,IF(G59="EQ",'3. 调整因子'!$D$67,"")))))</f>
        <v>5</v>
      </c>
      <c r="I59" s="79" t="s">
        <v>43</v>
      </c>
      <c r="J59" s="82" t="s">
        <v>44</v>
      </c>
      <c r="K59" s="80">
        <f>IF(H59="","",IF(I59="高",IF(J59="删除",H59*'3. 调整因子'!$D$53*'3. 调整因子'!$D$60,IF(J59="修改",H59*'3. 调整因子'!$D$53*'3. 调整因子'!$D$59,H59*'3. 调整因子'!$D$53*'3. 调整因子'!$D$58)),IF(I59="中",IF(J59="删除",H59*'3. 调整因子'!$D$54*'3. 调整因子'!$D$60,IF(J59="修改",H59*'3. 调整因子'!$D$54*'3. 调整因子'!$D$59,H59*'3. 调整因子'!$D$54*'3. 调整因子'!$D$58)),IF(J59="删除",H59*'3. 调整因子'!$D$55*'3. 调整因子'!$D$60,IF(J59="修改",H59*'3. 调整因子'!$D$55*'3. 调整因子'!$D$59,H59*'3. 调整因子'!$D$55*'3. 调整因子'!$D$58)))))</f>
        <v>1.66666666666666</v>
      </c>
      <c r="L59" s="81"/>
    </row>
    <row r="60" customFormat="1" spans="1:12">
      <c r="A60" s="75">
        <f t="shared" si="4"/>
        <v>52</v>
      </c>
      <c r="B60" s="75" t="s">
        <v>38</v>
      </c>
      <c r="C60" s="75" t="s">
        <v>39</v>
      </c>
      <c r="D60" s="75" t="s">
        <v>39</v>
      </c>
      <c r="E60" s="76" t="s">
        <v>40</v>
      </c>
      <c r="F60" s="76" t="s">
        <v>100</v>
      </c>
      <c r="G60" s="77" t="s">
        <v>42</v>
      </c>
      <c r="H60" s="78">
        <f>IF(G60="ILF",'3. 调整因子'!$D$63,IF(G60="EIF",'3. 调整因子'!$D$64,IF(G60="EI",'3. 调整因子'!$D$65,IF(G60="EO",'3. 调整因子'!$D$66,IF(G60="EQ",'3. 调整因子'!$D$67,"")))))</f>
        <v>7</v>
      </c>
      <c r="I60" s="79" t="s">
        <v>43</v>
      </c>
      <c r="J60" s="82" t="s">
        <v>44</v>
      </c>
      <c r="K60" s="80">
        <f>IF(H60="","",IF(I60="高",IF(J60="删除",H60*'3. 调整因子'!$D$53*'3. 调整因子'!$D$60,IF(J60="修改",H60*'3. 调整因子'!$D$53*'3. 调整因子'!$D$59,H60*'3. 调整因子'!$D$53*'3. 调整因子'!$D$58)),IF(I60="中",IF(J60="删除",H60*'3. 调整因子'!$D$54*'3. 调整因子'!$D$60,IF(J60="修改",H60*'3. 调整因子'!$D$54*'3. 调整因子'!$D$59,H60*'3. 调整因子'!$D$54*'3. 调整因子'!$D$58)),IF(J60="删除",H60*'3. 调整因子'!$D$55*'3. 调整因子'!$D$60,IF(J60="修改",H60*'3. 调整因子'!$D$55*'3. 调整因子'!$D$59,H60*'3. 调整因子'!$D$55*'3. 调整因子'!$D$58)))))</f>
        <v>2.33333333333333</v>
      </c>
      <c r="L60" s="81"/>
    </row>
    <row r="61" customFormat="1" spans="1:12">
      <c r="A61" s="75">
        <f t="shared" si="4"/>
        <v>53</v>
      </c>
      <c r="B61" s="75" t="s">
        <v>38</v>
      </c>
      <c r="C61" s="75" t="s">
        <v>39</v>
      </c>
      <c r="D61" s="75" t="s">
        <v>39</v>
      </c>
      <c r="E61" s="76" t="s">
        <v>40</v>
      </c>
      <c r="F61" s="76" t="s">
        <v>101</v>
      </c>
      <c r="G61" s="77" t="s">
        <v>54</v>
      </c>
      <c r="H61" s="78">
        <f>IF(G61="ILF",'3. 调整因子'!$D$63,IF(G61="EIF",'3. 调整因子'!$D$64,IF(G61="EI",'3. 调整因子'!$D$65,IF(G61="EO",'3. 调整因子'!$D$66,IF(G61="EQ",'3. 调整因子'!$D$67,"")))))</f>
        <v>5</v>
      </c>
      <c r="I61" s="79" t="s">
        <v>43</v>
      </c>
      <c r="J61" s="82" t="s">
        <v>44</v>
      </c>
      <c r="K61" s="80">
        <f>IF(H61="","",IF(I61="高",IF(J61="删除",H61*'3. 调整因子'!$D$53*'3. 调整因子'!$D$60,IF(J61="修改",H61*'3. 调整因子'!$D$53*'3. 调整因子'!$D$59,H61*'3. 调整因子'!$D$53*'3. 调整因子'!$D$58)),IF(I61="中",IF(J61="删除",H61*'3. 调整因子'!$D$54*'3. 调整因子'!$D$60,IF(J61="修改",H61*'3. 调整因子'!$D$54*'3. 调整因子'!$D$59,H61*'3. 调整因子'!$D$54*'3. 调整因子'!$D$58)),IF(J61="删除",H61*'3. 调整因子'!$D$55*'3. 调整因子'!$D$60,IF(J61="修改",H61*'3. 调整因子'!$D$55*'3. 调整因子'!$D$59,H61*'3. 调整因子'!$D$55*'3. 调整因子'!$D$58)))))</f>
        <v>1.66666666666666</v>
      </c>
      <c r="L61" s="81"/>
    </row>
    <row r="62" customFormat="1" spans="1:12">
      <c r="A62" s="75">
        <f t="shared" si="4"/>
        <v>54</v>
      </c>
      <c r="B62" s="75" t="s">
        <v>38</v>
      </c>
      <c r="C62" s="75" t="s">
        <v>39</v>
      </c>
      <c r="D62" s="75" t="s">
        <v>39</v>
      </c>
      <c r="E62" s="76" t="s">
        <v>40</v>
      </c>
      <c r="F62" s="76" t="s">
        <v>102</v>
      </c>
      <c r="G62" s="77" t="s">
        <v>50</v>
      </c>
      <c r="H62" s="78">
        <f>IF(G62="ILF",'3. 调整因子'!$D$63,IF(G62="EIF",'3. 调整因子'!$D$64,IF(G62="EI",'3. 调整因子'!$D$65,IF(G62="EO",'3. 调整因子'!$D$66,IF(G62="EQ",'3. 调整因子'!$D$67,"")))))</f>
        <v>4</v>
      </c>
      <c r="I62" s="79" t="s">
        <v>61</v>
      </c>
      <c r="J62" s="82" t="s">
        <v>44</v>
      </c>
      <c r="K62" s="80">
        <f>IF(H62="","",IF(I62="高",IF(J62="删除",H62*'3. 调整因子'!$D$53*'3. 调整因子'!$D$60,IF(J62="修改",H62*'3. 调整因子'!$D$53*'3. 调整因子'!$D$59,H62*'3. 调整因子'!$D$53*'3. 调整因子'!$D$58)),IF(I62="中",IF(J62="删除",H62*'3. 调整因子'!$D$54*'3. 调整因子'!$D$60,IF(J62="修改",H62*'3. 调整因子'!$D$54*'3. 调整因子'!$D$59,H62*'3. 调整因子'!$D$54*'3. 调整因子'!$D$58)),IF(J62="删除",H62*'3. 调整因子'!$D$55*'3. 调整因子'!$D$60,IF(J62="修改",H62*'3. 调整因子'!$D$55*'3. 调整因子'!$D$59,H62*'3. 调整因子'!$D$55*'3. 调整因子'!$D$58)))))</f>
        <v>2.66666666666667</v>
      </c>
      <c r="L62" s="81"/>
    </row>
    <row r="63" customFormat="1" spans="1:12">
      <c r="A63" s="75">
        <f t="shared" si="4"/>
        <v>55</v>
      </c>
      <c r="B63" s="75" t="s">
        <v>38</v>
      </c>
      <c r="C63" s="75" t="s">
        <v>39</v>
      </c>
      <c r="D63" s="75" t="s">
        <v>39</v>
      </c>
      <c r="E63" s="76" t="s">
        <v>40</v>
      </c>
      <c r="F63" s="76" t="s">
        <v>103</v>
      </c>
      <c r="G63" s="77" t="s">
        <v>54</v>
      </c>
      <c r="H63" s="78">
        <f>IF(G63="ILF",'3. 调整因子'!$D$63,IF(G63="EIF",'3. 调整因子'!$D$64,IF(G63="EI",'3. 调整因子'!$D$65,IF(G63="EO",'3. 调整因子'!$D$66,IF(G63="EQ",'3. 调整因子'!$D$67,"")))))</f>
        <v>5</v>
      </c>
      <c r="I63" s="79" t="s">
        <v>43</v>
      </c>
      <c r="J63" s="82" t="s">
        <v>44</v>
      </c>
      <c r="K63" s="80">
        <f>IF(H63="","",IF(I63="高",IF(J63="删除",H63*'3. 调整因子'!$D$53*'3. 调整因子'!$D$60,IF(J63="修改",H63*'3. 调整因子'!$D$53*'3. 调整因子'!$D$59,H63*'3. 调整因子'!$D$53*'3. 调整因子'!$D$58)),IF(I63="中",IF(J63="删除",H63*'3. 调整因子'!$D$54*'3. 调整因子'!$D$60,IF(J63="修改",H63*'3. 调整因子'!$D$54*'3. 调整因子'!$D$59,H63*'3. 调整因子'!$D$54*'3. 调整因子'!$D$58)),IF(J63="删除",H63*'3. 调整因子'!$D$55*'3. 调整因子'!$D$60,IF(J63="修改",H63*'3. 调整因子'!$D$55*'3. 调整因子'!$D$59,H63*'3. 调整因子'!$D$55*'3. 调整因子'!$D$58)))))</f>
        <v>1.66666666666666</v>
      </c>
      <c r="L63" s="81"/>
    </row>
    <row r="64" customFormat="1" spans="1:12">
      <c r="A64" s="75">
        <f t="shared" si="4"/>
        <v>56</v>
      </c>
      <c r="B64" s="75" t="s">
        <v>38</v>
      </c>
      <c r="C64" s="75" t="s">
        <v>39</v>
      </c>
      <c r="D64" s="75" t="s">
        <v>39</v>
      </c>
      <c r="E64" s="76" t="s">
        <v>40</v>
      </c>
      <c r="F64" s="76" t="s">
        <v>104</v>
      </c>
      <c r="G64" s="77" t="s">
        <v>54</v>
      </c>
      <c r="H64" s="78">
        <f>IF(G64="ILF",'3. 调整因子'!$D$63,IF(G64="EIF",'3. 调整因子'!$D$64,IF(G64="EI",'3. 调整因子'!$D$65,IF(G64="EO",'3. 调整因子'!$D$66,IF(G64="EQ",'3. 调整因子'!$D$67,"")))))</f>
        <v>5</v>
      </c>
      <c r="I64" s="79" t="s">
        <v>61</v>
      </c>
      <c r="J64" s="82" t="s">
        <v>44</v>
      </c>
      <c r="K64" s="80">
        <f>IF(H64="","",IF(I64="高",IF(J64="删除",H64*'3. 调整因子'!$D$53*'3. 调整因子'!$D$60,IF(J64="修改",H64*'3. 调整因子'!$D$53*'3. 调整因子'!$D$59,H64*'3. 调整因子'!$D$53*'3. 调整因子'!$D$58)),IF(I64="中",IF(J64="删除",H64*'3. 调整因子'!$D$54*'3. 调整因子'!$D$60,IF(J64="修改",H64*'3. 调整因子'!$D$54*'3. 调整因子'!$D$59,H64*'3. 调整因子'!$D$54*'3. 调整因子'!$D$58)),IF(J64="删除",H64*'3. 调整因子'!$D$55*'3. 调整因子'!$D$60,IF(J64="修改",H64*'3. 调整因子'!$D$55*'3. 调整因子'!$D$59,H64*'3. 调整因子'!$D$55*'3. 调整因子'!$D$58)))))</f>
        <v>3.33333333333333</v>
      </c>
      <c r="L64" s="81"/>
    </row>
    <row r="65" s="52" customFormat="1" spans="1:12">
      <c r="A65" s="75">
        <f t="shared" si="4"/>
        <v>57</v>
      </c>
      <c r="B65" s="75" t="s">
        <v>38</v>
      </c>
      <c r="C65" s="75" t="s">
        <v>39</v>
      </c>
      <c r="D65" s="75" t="s">
        <v>39</v>
      </c>
      <c r="E65" s="76" t="s">
        <v>40</v>
      </c>
      <c r="F65" s="76" t="s">
        <v>105</v>
      </c>
      <c r="G65" s="77" t="s">
        <v>54</v>
      </c>
      <c r="H65" s="78">
        <f>IF(G65="ILF",'3. 调整因子'!$D$63,IF(G65="EIF",'3. 调整因子'!$D$64,IF(G65="EI",'3. 调整因子'!$D$65,IF(G65="EO",'3. 调整因子'!$D$66,IF(G65="EQ",'3. 调整因子'!$D$67,"")))))</f>
        <v>5</v>
      </c>
      <c r="I65" s="79" t="s">
        <v>43</v>
      </c>
      <c r="J65" s="82" t="s">
        <v>44</v>
      </c>
      <c r="K65" s="80">
        <f>IF(H65="","",IF(I65="高",IF(J65="删除",H65*'3. 调整因子'!$D$53*'3. 调整因子'!$D$60,IF(J65="修改",H65*'3. 调整因子'!$D$53*'3. 调整因子'!$D$59,H65*'3. 调整因子'!$D$53*'3. 调整因子'!$D$58)),IF(I65="中",IF(J65="删除",H65*'3. 调整因子'!$D$54*'3. 调整因子'!$D$60,IF(J65="修改",H65*'3. 调整因子'!$D$54*'3. 调整因子'!$D$59,H65*'3. 调整因子'!$D$54*'3. 调整因子'!$D$58)),IF(J65="删除",H65*'3. 调整因子'!$D$55*'3. 调整因子'!$D$60,IF(J65="修改",H65*'3. 调整因子'!$D$55*'3. 调整因子'!$D$59,H65*'3. 调整因子'!$D$55*'3. 调整因子'!$D$58)))))</f>
        <v>1.66666666666666</v>
      </c>
      <c r="L65" s="87"/>
    </row>
    <row r="66" s="52" customFormat="1" spans="1:12">
      <c r="A66" s="75">
        <f t="shared" si="4"/>
        <v>58</v>
      </c>
      <c r="B66" s="75" t="s">
        <v>38</v>
      </c>
      <c r="C66" s="75" t="s">
        <v>39</v>
      </c>
      <c r="D66" s="75" t="s">
        <v>39</v>
      </c>
      <c r="E66" s="76" t="s">
        <v>40</v>
      </c>
      <c r="F66" s="76" t="s">
        <v>106</v>
      </c>
      <c r="G66" s="77" t="s">
        <v>54</v>
      </c>
      <c r="H66" s="78">
        <f>IF(G66="ILF",'3. 调整因子'!$D$63,IF(G66="EIF",'3. 调整因子'!$D$64,IF(G66="EI",'3. 调整因子'!$D$65,IF(G66="EO",'3. 调整因子'!$D$66,IF(G66="EQ",'3. 调整因子'!$D$67,"")))))</f>
        <v>5</v>
      </c>
      <c r="I66" s="79" t="s">
        <v>43</v>
      </c>
      <c r="J66" s="82" t="s">
        <v>44</v>
      </c>
      <c r="K66" s="80">
        <f>IF(H66="","",IF(I66="高",IF(J66="删除",H66*'3. 调整因子'!$D$53*'3. 调整因子'!$D$60,IF(J66="修改",H66*'3. 调整因子'!$D$53*'3. 调整因子'!$D$59,H66*'3. 调整因子'!$D$53*'3. 调整因子'!$D$58)),IF(I66="中",IF(J66="删除",H66*'3. 调整因子'!$D$54*'3. 调整因子'!$D$60,IF(J66="修改",H66*'3. 调整因子'!$D$54*'3. 调整因子'!$D$59,H66*'3. 调整因子'!$D$54*'3. 调整因子'!$D$58)),IF(J66="删除",H66*'3. 调整因子'!$D$55*'3. 调整因子'!$D$60,IF(J66="修改",H66*'3. 调整因子'!$D$55*'3. 调整因子'!$D$59,H66*'3. 调整因子'!$D$55*'3. 调整因子'!$D$58)))))</f>
        <v>1.66666666666666</v>
      </c>
      <c r="L66" s="87"/>
    </row>
    <row r="67" s="52" customFormat="1" spans="1:12">
      <c r="A67" s="75">
        <f t="shared" si="4"/>
        <v>59</v>
      </c>
      <c r="B67" s="75" t="s">
        <v>38</v>
      </c>
      <c r="C67" s="75" t="s">
        <v>39</v>
      </c>
      <c r="D67" s="75" t="s">
        <v>39</v>
      </c>
      <c r="E67" s="76" t="s">
        <v>40</v>
      </c>
      <c r="F67" s="76" t="s">
        <v>107</v>
      </c>
      <c r="G67" s="77" t="s">
        <v>54</v>
      </c>
      <c r="H67" s="78">
        <f>IF(G67="ILF",'3. 调整因子'!$D$63,IF(G67="EIF",'3. 调整因子'!$D$64,IF(G67="EI",'3. 调整因子'!$D$65,IF(G67="EO",'3. 调整因子'!$D$66,IF(G67="EQ",'3. 调整因子'!$D$67,"")))))</f>
        <v>5</v>
      </c>
      <c r="I67" s="79" t="s">
        <v>43</v>
      </c>
      <c r="J67" s="82" t="s">
        <v>44</v>
      </c>
      <c r="K67" s="80">
        <f>IF(H67="","",IF(I67="高",IF(J67="删除",H67*'3. 调整因子'!$D$53*'3. 调整因子'!$D$60,IF(J67="修改",H67*'3. 调整因子'!$D$53*'3. 调整因子'!$D$59,H67*'3. 调整因子'!$D$53*'3. 调整因子'!$D$58)),IF(I67="中",IF(J67="删除",H67*'3. 调整因子'!$D$54*'3. 调整因子'!$D$60,IF(J67="修改",H67*'3. 调整因子'!$D$54*'3. 调整因子'!$D$59,H67*'3. 调整因子'!$D$54*'3. 调整因子'!$D$58)),IF(J67="删除",H67*'3. 调整因子'!$D$55*'3. 调整因子'!$D$60,IF(J67="修改",H67*'3. 调整因子'!$D$55*'3. 调整因子'!$D$59,H67*'3. 调整因子'!$D$55*'3. 调整因子'!$D$58)))))</f>
        <v>1.66666666666666</v>
      </c>
      <c r="L67" s="87"/>
    </row>
    <row r="68" s="52" customFormat="1" spans="1:12">
      <c r="A68" s="75">
        <f t="shared" ref="A68:A77" si="5">ROW()-8</f>
        <v>60</v>
      </c>
      <c r="B68" s="75" t="s">
        <v>38</v>
      </c>
      <c r="C68" s="75" t="s">
        <v>39</v>
      </c>
      <c r="D68" s="75" t="s">
        <v>39</v>
      </c>
      <c r="E68" s="76" t="s">
        <v>40</v>
      </c>
      <c r="F68" s="76" t="s">
        <v>108</v>
      </c>
      <c r="G68" s="77" t="s">
        <v>54</v>
      </c>
      <c r="H68" s="78">
        <f>IF(G68="ILF",'3. 调整因子'!$D$63,IF(G68="EIF",'3. 调整因子'!$D$64,IF(G68="EI",'3. 调整因子'!$D$65,IF(G68="EO",'3. 调整因子'!$D$66,IF(G68="EQ",'3. 调整因子'!$D$67,"")))))</f>
        <v>5</v>
      </c>
      <c r="I68" s="79" t="s">
        <v>43</v>
      </c>
      <c r="J68" s="82" t="s">
        <v>44</v>
      </c>
      <c r="K68" s="80">
        <f>IF(H68="","",IF(I68="高",IF(J68="删除",H68*'3. 调整因子'!$D$53*'3. 调整因子'!$D$60,IF(J68="修改",H68*'3. 调整因子'!$D$53*'3. 调整因子'!$D$59,H68*'3. 调整因子'!$D$53*'3. 调整因子'!$D$58)),IF(I68="中",IF(J68="删除",H68*'3. 调整因子'!$D$54*'3. 调整因子'!$D$60,IF(J68="修改",H68*'3. 调整因子'!$D$54*'3. 调整因子'!$D$59,H68*'3. 调整因子'!$D$54*'3. 调整因子'!$D$58)),IF(J68="删除",H68*'3. 调整因子'!$D$55*'3. 调整因子'!$D$60,IF(J68="修改",H68*'3. 调整因子'!$D$55*'3. 调整因子'!$D$59,H68*'3. 调整因子'!$D$55*'3. 调整因子'!$D$58)))))</f>
        <v>1.66666666666666</v>
      </c>
      <c r="L68" s="87"/>
    </row>
    <row r="69" s="52" customFormat="1" spans="1:12">
      <c r="A69" s="75">
        <f t="shared" si="5"/>
        <v>61</v>
      </c>
      <c r="B69" s="75" t="s">
        <v>38</v>
      </c>
      <c r="C69" s="75" t="s">
        <v>39</v>
      </c>
      <c r="D69" s="75" t="s">
        <v>39</v>
      </c>
      <c r="E69" s="76" t="s">
        <v>40</v>
      </c>
      <c r="F69" s="85" t="s">
        <v>109</v>
      </c>
      <c r="G69" s="86" t="s">
        <v>54</v>
      </c>
      <c r="H69" s="78">
        <f>IF(G69="ILF",'3. 调整因子'!$D$63,IF(G69="EIF",'3. 调整因子'!$D$64,IF(G69="EI",'3. 调整因子'!$D$65,IF(G69="EO",'3. 调整因子'!$D$66,IF(G69="EQ",'3. 调整因子'!$D$67,"")))))</f>
        <v>5</v>
      </c>
      <c r="I69" s="83" t="s">
        <v>43</v>
      </c>
      <c r="J69" s="83" t="s">
        <v>44</v>
      </c>
      <c r="K69" s="80">
        <f>IF(H69="","",IF(I69="高",IF(J69="删除",H69*'3. 调整因子'!$D$53*'3. 调整因子'!$D$60,IF(J69="修改",H69*'3. 调整因子'!$D$53*'3. 调整因子'!$D$59,H69*'3. 调整因子'!$D$53*'3. 调整因子'!$D$58)),IF(I69="中",IF(J69="删除",H69*'3. 调整因子'!$D$54*'3. 调整因子'!$D$60,IF(J69="修改",H69*'3. 调整因子'!$D$54*'3. 调整因子'!$D$59,H69*'3. 调整因子'!$D$54*'3. 调整因子'!$D$58)),IF(J69="删除",H69*'3. 调整因子'!$D$55*'3. 调整因子'!$D$60,IF(J69="修改",H69*'3. 调整因子'!$D$55*'3. 调整因子'!$D$59,H69*'3. 调整因子'!$D$55*'3. 调整因子'!$D$58)))))</f>
        <v>1.66666666666666</v>
      </c>
      <c r="L69" s="87"/>
    </row>
    <row r="70" s="52" customFormat="1" spans="1:12">
      <c r="A70" s="75">
        <f t="shared" si="5"/>
        <v>62</v>
      </c>
      <c r="B70" s="75" t="s">
        <v>38</v>
      </c>
      <c r="C70" s="75" t="s">
        <v>39</v>
      </c>
      <c r="D70" s="75" t="s">
        <v>39</v>
      </c>
      <c r="E70" s="76" t="s">
        <v>40</v>
      </c>
      <c r="F70" s="76" t="s">
        <v>110</v>
      </c>
      <c r="G70" s="77" t="s">
        <v>42</v>
      </c>
      <c r="H70" s="78">
        <f>IF(G70="ILF",'3. 调整因子'!$D$63,IF(G70="EIF",'3. 调整因子'!$D$64,IF(G70="EI",'3. 调整因子'!$D$65,IF(G70="EO",'3. 调整因子'!$D$66,IF(G70="EQ",'3. 调整因子'!$D$67,"")))))</f>
        <v>7</v>
      </c>
      <c r="I70" s="79" t="s">
        <v>43</v>
      </c>
      <c r="J70" s="82" t="s">
        <v>66</v>
      </c>
      <c r="K70" s="80">
        <f>IF(H70="","",IF(I70="高",IF(J70="删除",H70*'3. 调整因子'!$D$53*'3. 调整因子'!$D$60,IF(J70="修改",H70*'3. 调整因子'!$D$53*'3. 调整因子'!$D$59,H70*'3. 调整因子'!$D$53*'3. 调整因子'!$D$58)),IF(I70="中",IF(J70="删除",H70*'3. 调整因子'!$D$54*'3. 调整因子'!$D$60,IF(J70="修改",H70*'3. 调整因子'!$D$54*'3. 调整因子'!$D$59,H70*'3. 调整因子'!$D$54*'3. 调整因子'!$D$58)),IF(J70="删除",H70*'3. 调整因子'!$D$55*'3. 调整因子'!$D$60,IF(J70="修改",H70*'3. 调整因子'!$D$55*'3. 调整因子'!$D$59,H70*'3. 调整因子'!$D$55*'3. 调整因子'!$D$58)))))</f>
        <v>1.86666666666666</v>
      </c>
      <c r="L70" s="87"/>
    </row>
    <row r="71" s="52" customFormat="1" spans="1:12">
      <c r="A71" s="75">
        <f t="shared" si="5"/>
        <v>63</v>
      </c>
      <c r="B71" s="75" t="s">
        <v>38</v>
      </c>
      <c r="C71" s="75" t="s">
        <v>39</v>
      </c>
      <c r="D71" s="75" t="s">
        <v>39</v>
      </c>
      <c r="E71" s="76" t="s">
        <v>40</v>
      </c>
      <c r="F71" s="76" t="s">
        <v>111</v>
      </c>
      <c r="G71" s="77" t="s">
        <v>42</v>
      </c>
      <c r="H71" s="78">
        <f>IF(G71="ILF",'3. 调整因子'!$D$63,IF(G71="EIF",'3. 调整因子'!$D$64,IF(G71="EI",'3. 调整因子'!$D$65,IF(G71="EO",'3. 调整因子'!$D$66,IF(G71="EQ",'3. 调整因子'!$D$67,"")))))</f>
        <v>7</v>
      </c>
      <c r="I71" s="79" t="s">
        <v>43</v>
      </c>
      <c r="J71" s="82" t="s">
        <v>66</v>
      </c>
      <c r="K71" s="80">
        <f>IF(H71="","",IF(I71="高",IF(J71="删除",H71*'3. 调整因子'!$D$53*'3. 调整因子'!$D$60,IF(J71="修改",H71*'3. 调整因子'!$D$53*'3. 调整因子'!$D$59,H71*'3. 调整因子'!$D$53*'3. 调整因子'!$D$58)),IF(I71="中",IF(J71="删除",H71*'3. 调整因子'!$D$54*'3. 调整因子'!$D$60,IF(J71="修改",H71*'3. 调整因子'!$D$54*'3. 调整因子'!$D$59,H71*'3. 调整因子'!$D$54*'3. 调整因子'!$D$58)),IF(J71="删除",H71*'3. 调整因子'!$D$55*'3. 调整因子'!$D$60,IF(J71="修改",H71*'3. 调整因子'!$D$55*'3. 调整因子'!$D$59,H71*'3. 调整因子'!$D$55*'3. 调整因子'!$D$58)))))</f>
        <v>1.86666666666666</v>
      </c>
      <c r="L71" s="87"/>
    </row>
    <row r="72" s="52" customFormat="1" spans="1:12">
      <c r="A72" s="75">
        <f t="shared" si="5"/>
        <v>64</v>
      </c>
      <c r="B72" s="75" t="s">
        <v>38</v>
      </c>
      <c r="C72" s="75" t="s">
        <v>39</v>
      </c>
      <c r="D72" s="75" t="s">
        <v>39</v>
      </c>
      <c r="E72" s="76" t="s">
        <v>40</v>
      </c>
      <c r="F72" s="76" t="s">
        <v>112</v>
      </c>
      <c r="G72" s="77" t="s">
        <v>46</v>
      </c>
      <c r="H72" s="78">
        <f>IF(G72="ILF",'3. 调整因子'!$D$63,IF(G72="EIF",'3. 调整因子'!$D$64,IF(G72="EI",'3. 调整因子'!$D$65,IF(G72="EO",'3. 调整因子'!$D$66,IF(G72="EQ",'3. 调整因子'!$D$67,"")))))</f>
        <v>4</v>
      </c>
      <c r="I72" s="79" t="s">
        <v>61</v>
      </c>
      <c r="J72" s="82" t="s">
        <v>44</v>
      </c>
      <c r="K72" s="80">
        <f>IF(H72="","",IF(I72="高",IF(J72="删除",H72*'3. 调整因子'!$D$53*'3. 调整因子'!$D$60,IF(J72="修改",H72*'3. 调整因子'!$D$53*'3. 调整因子'!$D$59,H72*'3. 调整因子'!$D$53*'3. 调整因子'!$D$58)),IF(I72="中",IF(J72="删除",H72*'3. 调整因子'!$D$54*'3. 调整因子'!$D$60,IF(J72="修改",H72*'3. 调整因子'!$D$54*'3. 调整因子'!$D$59,H72*'3. 调整因子'!$D$54*'3. 调整因子'!$D$58)),IF(J72="删除",H72*'3. 调整因子'!$D$55*'3. 调整因子'!$D$60,IF(J72="修改",H72*'3. 调整因子'!$D$55*'3. 调整因子'!$D$59,H72*'3. 调整因子'!$D$55*'3. 调整因子'!$D$58)))))</f>
        <v>2.66666666666667</v>
      </c>
      <c r="L72" s="87"/>
    </row>
    <row r="73" s="52" customFormat="1" spans="1:12">
      <c r="A73" s="75">
        <f t="shared" si="5"/>
        <v>65</v>
      </c>
      <c r="B73" s="75" t="s">
        <v>38</v>
      </c>
      <c r="C73" s="75" t="s">
        <v>39</v>
      </c>
      <c r="D73" s="75" t="s">
        <v>39</v>
      </c>
      <c r="E73" s="76" t="s">
        <v>40</v>
      </c>
      <c r="F73" s="76" t="s">
        <v>113</v>
      </c>
      <c r="G73" s="77" t="s">
        <v>46</v>
      </c>
      <c r="H73" s="78">
        <f>IF(G73="ILF",'3. 调整因子'!$D$63,IF(G73="EIF",'3. 调整因子'!$D$64,IF(G73="EI",'3. 调整因子'!$D$65,IF(G73="EO",'3. 调整因子'!$D$66,IF(G73="EQ",'3. 调整因子'!$D$67,"")))))</f>
        <v>4</v>
      </c>
      <c r="I73" s="79" t="s">
        <v>43</v>
      </c>
      <c r="J73" s="82" t="s">
        <v>44</v>
      </c>
      <c r="K73" s="80">
        <f>IF(H73="","",IF(I73="高",IF(J73="删除",H73*'3. 调整因子'!$D$53*'3. 调整因子'!$D$60,IF(J73="修改",H73*'3. 调整因子'!$D$53*'3. 调整因子'!$D$59,H73*'3. 调整因子'!$D$53*'3. 调整因子'!$D$58)),IF(I73="中",IF(J73="删除",H73*'3. 调整因子'!$D$54*'3. 调整因子'!$D$60,IF(J73="修改",H73*'3. 调整因子'!$D$54*'3. 调整因子'!$D$59,H73*'3. 调整因子'!$D$54*'3. 调整因子'!$D$58)),IF(J73="删除",H73*'3. 调整因子'!$D$55*'3. 调整因子'!$D$60,IF(J73="修改",H73*'3. 调整因子'!$D$55*'3. 调整因子'!$D$59,H73*'3. 调整因子'!$D$55*'3. 调整因子'!$D$58)))))</f>
        <v>1.33333333333333</v>
      </c>
      <c r="L73" s="87"/>
    </row>
    <row r="74" s="52" customFormat="1" spans="1:12">
      <c r="A74" s="75">
        <f t="shared" si="5"/>
        <v>66</v>
      </c>
      <c r="B74" s="75" t="s">
        <v>38</v>
      </c>
      <c r="C74" s="75" t="s">
        <v>39</v>
      </c>
      <c r="D74" s="75" t="s">
        <v>39</v>
      </c>
      <c r="E74" s="76" t="s">
        <v>40</v>
      </c>
      <c r="F74" s="76" t="s">
        <v>114</v>
      </c>
      <c r="G74" s="77" t="s">
        <v>54</v>
      </c>
      <c r="H74" s="78">
        <f>IF(G74="ILF",'3. 调整因子'!$D$63,IF(G74="EIF",'3. 调整因子'!$D$64,IF(G74="EI",'3. 调整因子'!$D$65,IF(G74="EO",'3. 调整因子'!$D$66,IF(G74="EQ",'3. 调整因子'!$D$67,"")))))</f>
        <v>5</v>
      </c>
      <c r="I74" s="79" t="s">
        <v>61</v>
      </c>
      <c r="J74" s="82" t="s">
        <v>44</v>
      </c>
      <c r="K74" s="80">
        <f>IF(H74="","",IF(I74="高",IF(J74="删除",H74*'3. 调整因子'!$D$53*'3. 调整因子'!$D$60,IF(J74="修改",H74*'3. 调整因子'!$D$53*'3. 调整因子'!$D$59,H74*'3. 调整因子'!$D$53*'3. 调整因子'!$D$58)),IF(I74="中",IF(J74="删除",H74*'3. 调整因子'!$D$54*'3. 调整因子'!$D$60,IF(J74="修改",H74*'3. 调整因子'!$D$54*'3. 调整因子'!$D$59,H74*'3. 调整因子'!$D$54*'3. 调整因子'!$D$58)),IF(J74="删除",H74*'3. 调整因子'!$D$55*'3. 调整因子'!$D$60,IF(J74="修改",H74*'3. 调整因子'!$D$55*'3. 调整因子'!$D$59,H74*'3. 调整因子'!$D$55*'3. 调整因子'!$D$58)))))</f>
        <v>3.33333333333333</v>
      </c>
      <c r="L74" s="87"/>
    </row>
    <row r="75" s="52" customFormat="1" spans="1:12">
      <c r="A75" s="75">
        <f t="shared" si="5"/>
        <v>67</v>
      </c>
      <c r="B75" s="75" t="s">
        <v>38</v>
      </c>
      <c r="C75" s="75" t="s">
        <v>39</v>
      </c>
      <c r="D75" s="75" t="s">
        <v>39</v>
      </c>
      <c r="E75" s="76" t="s">
        <v>40</v>
      </c>
      <c r="F75" s="85" t="s">
        <v>115</v>
      </c>
      <c r="G75" s="86" t="s">
        <v>54</v>
      </c>
      <c r="H75" s="78">
        <f>IF(G75="ILF",'3. 调整因子'!$D$63,IF(G75="EIF",'3. 调整因子'!$D$64,IF(G75="EI",'3. 调整因子'!$D$65,IF(G75="EO",'3. 调整因子'!$D$66,IF(G75="EQ",'3. 调整因子'!$D$67,"")))))</f>
        <v>5</v>
      </c>
      <c r="I75" s="83" t="s">
        <v>43</v>
      </c>
      <c r="J75" s="83" t="s">
        <v>44</v>
      </c>
      <c r="K75" s="80">
        <f>IF(H75="","",IF(I75="高",IF(J75="删除",H75*'3. 调整因子'!$D$53*'3. 调整因子'!$D$60,IF(J75="修改",H75*'3. 调整因子'!$D$53*'3. 调整因子'!$D$59,H75*'3. 调整因子'!$D$53*'3. 调整因子'!$D$58)),IF(I75="中",IF(J75="删除",H75*'3. 调整因子'!$D$54*'3. 调整因子'!$D$60,IF(J75="修改",H75*'3. 调整因子'!$D$54*'3. 调整因子'!$D$59,H75*'3. 调整因子'!$D$54*'3. 调整因子'!$D$58)),IF(J75="删除",H75*'3. 调整因子'!$D$55*'3. 调整因子'!$D$60,IF(J75="修改",H75*'3. 调整因子'!$D$55*'3. 调整因子'!$D$59,H75*'3. 调整因子'!$D$55*'3. 调整因子'!$D$58)))))</f>
        <v>1.66666666666666</v>
      </c>
      <c r="L75" s="87"/>
    </row>
    <row r="76" s="52" customFormat="1" spans="1:12">
      <c r="A76" s="75">
        <f t="shared" si="5"/>
        <v>68</v>
      </c>
      <c r="B76" s="75" t="s">
        <v>38</v>
      </c>
      <c r="C76" s="75" t="s">
        <v>39</v>
      </c>
      <c r="D76" s="75" t="s">
        <v>39</v>
      </c>
      <c r="E76" s="76" t="s">
        <v>40</v>
      </c>
      <c r="F76" s="76" t="s">
        <v>116</v>
      </c>
      <c r="G76" s="77" t="s">
        <v>54</v>
      </c>
      <c r="H76" s="78">
        <f>IF(G76="ILF",'3. 调整因子'!$D$63,IF(G76="EIF",'3. 调整因子'!$D$64,IF(G76="EI",'3. 调整因子'!$D$65,IF(G76="EO",'3. 调整因子'!$D$66,IF(G76="EQ",'3. 调整因子'!$D$67,"")))))</f>
        <v>5</v>
      </c>
      <c r="I76" s="79" t="s">
        <v>43</v>
      </c>
      <c r="J76" s="82" t="s">
        <v>44</v>
      </c>
      <c r="K76" s="80">
        <f>IF(H76="","",IF(I76="高",IF(J76="删除",H76*'3. 调整因子'!$D$53*'3. 调整因子'!$D$60,IF(J76="修改",H76*'3. 调整因子'!$D$53*'3. 调整因子'!$D$59,H76*'3. 调整因子'!$D$53*'3. 调整因子'!$D$58)),IF(I76="中",IF(J76="删除",H76*'3. 调整因子'!$D$54*'3. 调整因子'!$D$60,IF(J76="修改",H76*'3. 调整因子'!$D$54*'3. 调整因子'!$D$59,H76*'3. 调整因子'!$D$54*'3. 调整因子'!$D$58)),IF(J76="删除",H76*'3. 调整因子'!$D$55*'3. 调整因子'!$D$60,IF(J76="修改",H76*'3. 调整因子'!$D$55*'3. 调整因子'!$D$59,H76*'3. 调整因子'!$D$55*'3. 调整因子'!$D$58)))))</f>
        <v>1.66666666666666</v>
      </c>
      <c r="L76" s="87"/>
    </row>
    <row r="77" s="52" customFormat="1" spans="1:12">
      <c r="A77" s="75">
        <f t="shared" si="5"/>
        <v>69</v>
      </c>
      <c r="B77" s="75" t="s">
        <v>38</v>
      </c>
      <c r="C77" s="75" t="s">
        <v>39</v>
      </c>
      <c r="D77" s="75" t="s">
        <v>39</v>
      </c>
      <c r="E77" s="76" t="s">
        <v>40</v>
      </c>
      <c r="F77" s="76" t="s">
        <v>117</v>
      </c>
      <c r="G77" s="77" t="s">
        <v>54</v>
      </c>
      <c r="H77" s="78">
        <f>IF(G77="ILF",'3. 调整因子'!$D$63,IF(G77="EIF",'3. 调整因子'!$D$64,IF(G77="EI",'3. 调整因子'!$D$65,IF(G77="EO",'3. 调整因子'!$D$66,IF(G77="EQ",'3. 调整因子'!$D$67,"")))))</f>
        <v>5</v>
      </c>
      <c r="I77" s="79" t="s">
        <v>43</v>
      </c>
      <c r="J77" s="82" t="s">
        <v>44</v>
      </c>
      <c r="K77" s="80">
        <f>IF(H77="","",IF(I77="高",IF(J77="删除",H77*'3. 调整因子'!$D$53*'3. 调整因子'!$D$60,IF(J77="修改",H77*'3. 调整因子'!$D$53*'3. 调整因子'!$D$59,H77*'3. 调整因子'!$D$53*'3. 调整因子'!$D$58)),IF(I77="中",IF(J77="删除",H77*'3. 调整因子'!$D$54*'3. 调整因子'!$D$60,IF(J77="修改",H77*'3. 调整因子'!$D$54*'3. 调整因子'!$D$59,H77*'3. 调整因子'!$D$54*'3. 调整因子'!$D$58)),IF(J77="删除",H77*'3. 调整因子'!$D$55*'3. 调整因子'!$D$60,IF(J77="修改",H77*'3. 调整因子'!$D$55*'3. 调整因子'!$D$59,H77*'3. 调整因子'!$D$55*'3. 调整因子'!$D$58)))))</f>
        <v>1.66666666666666</v>
      </c>
      <c r="L77" s="87"/>
    </row>
    <row r="78" s="52" customFormat="1" spans="1:12">
      <c r="A78" s="75">
        <f t="shared" ref="A78:A89" si="6">ROW()-8</f>
        <v>70</v>
      </c>
      <c r="B78" s="75" t="s">
        <v>38</v>
      </c>
      <c r="C78" s="75" t="s">
        <v>39</v>
      </c>
      <c r="D78" s="75" t="s">
        <v>39</v>
      </c>
      <c r="E78" s="76" t="s">
        <v>40</v>
      </c>
      <c r="F78" s="76" t="s">
        <v>118</v>
      </c>
      <c r="G78" s="77" t="s">
        <v>46</v>
      </c>
      <c r="H78" s="78">
        <f>IF(G78="ILF",'3. 调整因子'!$D$63,IF(G78="EIF",'3. 调整因子'!$D$64,IF(G78="EI",'3. 调整因子'!$D$65,IF(G78="EO",'3. 调整因子'!$D$66,IF(G78="EQ",'3. 调整因子'!$D$67,"")))))</f>
        <v>4</v>
      </c>
      <c r="I78" s="79" t="s">
        <v>43</v>
      </c>
      <c r="J78" s="82" t="s">
        <v>44</v>
      </c>
      <c r="K78" s="80">
        <f>IF(H78="","",IF(I78="高",IF(J78="删除",H78*'3. 调整因子'!$D$53*'3. 调整因子'!$D$60,IF(J78="修改",H78*'3. 调整因子'!$D$53*'3. 调整因子'!$D$59,H78*'3. 调整因子'!$D$53*'3. 调整因子'!$D$58)),IF(I78="中",IF(J78="删除",H78*'3. 调整因子'!$D$54*'3. 调整因子'!$D$60,IF(J78="修改",H78*'3. 调整因子'!$D$54*'3. 调整因子'!$D$59,H78*'3. 调整因子'!$D$54*'3. 调整因子'!$D$58)),IF(J78="删除",H78*'3. 调整因子'!$D$55*'3. 调整因子'!$D$60,IF(J78="修改",H78*'3. 调整因子'!$D$55*'3. 调整因子'!$D$59,H78*'3. 调整因子'!$D$55*'3. 调整因子'!$D$58)))))</f>
        <v>1.33333333333333</v>
      </c>
      <c r="L78" s="87"/>
    </row>
    <row r="79" s="52" customFormat="1" spans="1:12">
      <c r="A79" s="75">
        <f t="shared" si="6"/>
        <v>71</v>
      </c>
      <c r="B79" s="75" t="s">
        <v>38</v>
      </c>
      <c r="C79" s="75" t="s">
        <v>39</v>
      </c>
      <c r="D79" s="75" t="s">
        <v>39</v>
      </c>
      <c r="E79" s="76" t="s">
        <v>40</v>
      </c>
      <c r="F79" s="76" t="s">
        <v>119</v>
      </c>
      <c r="G79" s="77" t="s">
        <v>42</v>
      </c>
      <c r="H79" s="78">
        <f>IF(G79="ILF",'3. 调整因子'!$D$63,IF(G79="EIF",'3. 调整因子'!$D$64,IF(G79="EI",'3. 调整因子'!$D$65,IF(G79="EO",'3. 调整因子'!$D$66,IF(G79="EQ",'3. 调整因子'!$D$67,"")))))</f>
        <v>7</v>
      </c>
      <c r="I79" s="79" t="s">
        <v>43</v>
      </c>
      <c r="J79" s="82" t="s">
        <v>44</v>
      </c>
      <c r="K79" s="80">
        <f>IF(H79="","",IF(I79="高",IF(J79="删除",H79*'3. 调整因子'!$D$53*'3. 调整因子'!$D$60,IF(J79="修改",H79*'3. 调整因子'!$D$53*'3. 调整因子'!$D$59,H79*'3. 调整因子'!$D$53*'3. 调整因子'!$D$58)),IF(I79="中",IF(J79="删除",H79*'3. 调整因子'!$D$54*'3. 调整因子'!$D$60,IF(J79="修改",H79*'3. 调整因子'!$D$54*'3. 调整因子'!$D$59,H79*'3. 调整因子'!$D$54*'3. 调整因子'!$D$58)),IF(J79="删除",H79*'3. 调整因子'!$D$55*'3. 调整因子'!$D$60,IF(J79="修改",H79*'3. 调整因子'!$D$55*'3. 调整因子'!$D$59,H79*'3. 调整因子'!$D$55*'3. 调整因子'!$D$58)))))</f>
        <v>2.33333333333333</v>
      </c>
      <c r="L79" s="87"/>
    </row>
    <row r="80" s="52" customFormat="1" spans="1:12">
      <c r="A80" s="75">
        <f t="shared" si="6"/>
        <v>72</v>
      </c>
      <c r="B80" s="75" t="s">
        <v>38</v>
      </c>
      <c r="C80" s="75" t="s">
        <v>39</v>
      </c>
      <c r="D80" s="75" t="s">
        <v>39</v>
      </c>
      <c r="E80" s="76" t="s">
        <v>40</v>
      </c>
      <c r="F80" s="76" t="s">
        <v>120</v>
      </c>
      <c r="G80" s="77" t="s">
        <v>54</v>
      </c>
      <c r="H80" s="78">
        <f>IF(G80="ILF",'3. 调整因子'!$D$63,IF(G80="EIF",'3. 调整因子'!$D$64,IF(G80="EI",'3. 调整因子'!$D$65,IF(G80="EO",'3. 调整因子'!$D$66,IF(G80="EQ",'3. 调整因子'!$D$67,"")))))</f>
        <v>5</v>
      </c>
      <c r="I80" s="79" t="s">
        <v>43</v>
      </c>
      <c r="J80" s="82" t="s">
        <v>44</v>
      </c>
      <c r="K80" s="80">
        <f>IF(H80="","",IF(I80="高",IF(J80="删除",H80*'3. 调整因子'!$D$53*'3. 调整因子'!$D$60,IF(J80="修改",H80*'3. 调整因子'!$D$53*'3. 调整因子'!$D$59,H80*'3. 调整因子'!$D$53*'3. 调整因子'!$D$58)),IF(I80="中",IF(J80="删除",H80*'3. 调整因子'!$D$54*'3. 调整因子'!$D$60,IF(J80="修改",H80*'3. 调整因子'!$D$54*'3. 调整因子'!$D$59,H80*'3. 调整因子'!$D$54*'3. 调整因子'!$D$58)),IF(J80="删除",H80*'3. 调整因子'!$D$55*'3. 调整因子'!$D$60,IF(J80="修改",H80*'3. 调整因子'!$D$55*'3. 调整因子'!$D$59,H80*'3. 调整因子'!$D$55*'3. 调整因子'!$D$58)))))</f>
        <v>1.66666666666666</v>
      </c>
      <c r="L80" s="87"/>
    </row>
    <row r="81" s="52" customFormat="1" spans="1:12">
      <c r="A81" s="75">
        <f t="shared" si="6"/>
        <v>73</v>
      </c>
      <c r="B81" s="75" t="s">
        <v>38</v>
      </c>
      <c r="C81" s="75" t="s">
        <v>39</v>
      </c>
      <c r="D81" s="75" t="s">
        <v>39</v>
      </c>
      <c r="E81" s="76" t="s">
        <v>40</v>
      </c>
      <c r="F81" s="85" t="s">
        <v>121</v>
      </c>
      <c r="G81" s="86" t="s">
        <v>42</v>
      </c>
      <c r="H81" s="78">
        <f>IF(G81="ILF",'3. 调整因子'!$D$63,IF(G81="EIF",'3. 调整因子'!$D$64,IF(G81="EI",'3. 调整因子'!$D$65,IF(G81="EO",'3. 调整因子'!$D$66,IF(G81="EQ",'3. 调整因子'!$D$67,"")))))</f>
        <v>7</v>
      </c>
      <c r="I81" s="83" t="s">
        <v>61</v>
      </c>
      <c r="J81" s="83" t="s">
        <v>66</v>
      </c>
      <c r="K81" s="80">
        <f>IF(H81="","",IF(I81="高",IF(J81="删除",H81*'3. 调整因子'!$D$53*'3. 调整因子'!$D$60,IF(J81="修改",H81*'3. 调整因子'!$D$53*'3. 调整因子'!$D$59,H81*'3. 调整因子'!$D$53*'3. 调整因子'!$D$58)),IF(I81="中",IF(J81="删除",H81*'3. 调整因子'!$D$54*'3. 调整因子'!$D$60,IF(J81="修改",H81*'3. 调整因子'!$D$54*'3. 调整因子'!$D$59,H81*'3. 调整因子'!$D$54*'3. 调整因子'!$D$58)),IF(J81="删除",H81*'3. 调整因子'!$D$55*'3. 调整因子'!$D$60,IF(J81="修改",H81*'3. 调整因子'!$D$55*'3. 调整因子'!$D$59,H81*'3. 调整因子'!$D$55*'3. 调整因子'!$D$58)))))</f>
        <v>3.73333333333333</v>
      </c>
      <c r="L81" s="87"/>
    </row>
    <row r="82" s="52" customFormat="1" spans="1:12">
      <c r="A82" s="75">
        <f t="shared" si="6"/>
        <v>74</v>
      </c>
      <c r="B82" s="75" t="s">
        <v>38</v>
      </c>
      <c r="C82" s="75" t="s">
        <v>39</v>
      </c>
      <c r="D82" s="75" t="s">
        <v>39</v>
      </c>
      <c r="E82" s="76" t="s">
        <v>40</v>
      </c>
      <c r="F82" s="76" t="s">
        <v>122</v>
      </c>
      <c r="G82" s="77" t="s">
        <v>54</v>
      </c>
      <c r="H82" s="78">
        <f>IF(G82="ILF",'3. 调整因子'!$D$63,IF(G82="EIF",'3. 调整因子'!$D$64,IF(G82="EI",'3. 调整因子'!$D$65,IF(G82="EO",'3. 调整因子'!$D$66,IF(G82="EQ",'3. 调整因子'!$D$67,"")))))</f>
        <v>5</v>
      </c>
      <c r="I82" s="79" t="s">
        <v>61</v>
      </c>
      <c r="J82" s="82" t="s">
        <v>44</v>
      </c>
      <c r="K82" s="80">
        <f>IF(H82="","",IF(I82="高",IF(J82="删除",H82*'3. 调整因子'!$D$53*'3. 调整因子'!$D$60,IF(J82="修改",H82*'3. 调整因子'!$D$53*'3. 调整因子'!$D$59,H82*'3. 调整因子'!$D$53*'3. 调整因子'!$D$58)),IF(I82="中",IF(J82="删除",H82*'3. 调整因子'!$D$54*'3. 调整因子'!$D$60,IF(J82="修改",H82*'3. 调整因子'!$D$54*'3. 调整因子'!$D$59,H82*'3. 调整因子'!$D$54*'3. 调整因子'!$D$58)),IF(J82="删除",H82*'3. 调整因子'!$D$55*'3. 调整因子'!$D$60,IF(J82="修改",H82*'3. 调整因子'!$D$55*'3. 调整因子'!$D$59,H82*'3. 调整因子'!$D$55*'3. 调整因子'!$D$58)))))</f>
        <v>3.33333333333333</v>
      </c>
      <c r="L82" s="87"/>
    </row>
    <row r="83" s="52" customFormat="1" spans="1:12">
      <c r="A83" s="75">
        <f t="shared" si="6"/>
        <v>75</v>
      </c>
      <c r="B83" s="75" t="s">
        <v>38</v>
      </c>
      <c r="C83" s="75" t="s">
        <v>39</v>
      </c>
      <c r="D83" s="75" t="s">
        <v>39</v>
      </c>
      <c r="E83" s="76" t="s">
        <v>40</v>
      </c>
      <c r="F83" s="76" t="s">
        <v>123</v>
      </c>
      <c r="G83" s="77" t="s">
        <v>54</v>
      </c>
      <c r="H83" s="78">
        <f>IF(G83="ILF",'3. 调整因子'!$D$63,IF(G83="EIF",'3. 调整因子'!$D$64,IF(G83="EI",'3. 调整因子'!$D$65,IF(G83="EO",'3. 调整因子'!$D$66,IF(G83="EQ",'3. 调整因子'!$D$67,"")))))</f>
        <v>5</v>
      </c>
      <c r="I83" s="79" t="s">
        <v>43</v>
      </c>
      <c r="J83" s="82" t="s">
        <v>44</v>
      </c>
      <c r="K83" s="80">
        <f>IF(H83="","",IF(I83="高",IF(J83="删除",H83*'3. 调整因子'!$D$53*'3. 调整因子'!$D$60,IF(J83="修改",H83*'3. 调整因子'!$D$53*'3. 调整因子'!$D$59,H83*'3. 调整因子'!$D$53*'3. 调整因子'!$D$58)),IF(I83="中",IF(J83="删除",H83*'3. 调整因子'!$D$54*'3. 调整因子'!$D$60,IF(J83="修改",H83*'3. 调整因子'!$D$54*'3. 调整因子'!$D$59,H83*'3. 调整因子'!$D$54*'3. 调整因子'!$D$58)),IF(J83="删除",H83*'3. 调整因子'!$D$55*'3. 调整因子'!$D$60,IF(J83="修改",H83*'3. 调整因子'!$D$55*'3. 调整因子'!$D$59,H83*'3. 调整因子'!$D$55*'3. 调整因子'!$D$58)))))</f>
        <v>1.66666666666666</v>
      </c>
      <c r="L83" s="87"/>
    </row>
    <row r="84" s="52" customFormat="1" spans="1:12">
      <c r="A84" s="75">
        <f t="shared" si="6"/>
        <v>76</v>
      </c>
      <c r="B84" s="75" t="s">
        <v>38</v>
      </c>
      <c r="C84" s="75" t="s">
        <v>39</v>
      </c>
      <c r="D84" s="75" t="s">
        <v>39</v>
      </c>
      <c r="E84" s="76" t="s">
        <v>40</v>
      </c>
      <c r="F84" s="76" t="s">
        <v>124</v>
      </c>
      <c r="G84" s="77" t="s">
        <v>54</v>
      </c>
      <c r="H84" s="78">
        <f>IF(G84="ILF",'3. 调整因子'!$D$63,IF(G84="EIF",'3. 调整因子'!$D$64,IF(G84="EI",'3. 调整因子'!$D$65,IF(G84="EO",'3. 调整因子'!$D$66,IF(G84="EQ",'3. 调整因子'!$D$67,"")))))</f>
        <v>5</v>
      </c>
      <c r="I84" s="79" t="s">
        <v>43</v>
      </c>
      <c r="J84" s="82" t="s">
        <v>66</v>
      </c>
      <c r="K84" s="80">
        <f>IF(H84="","",IF(I84="高",IF(J84="删除",H84*'3. 调整因子'!$D$53*'3. 调整因子'!$D$60,IF(J84="修改",H84*'3. 调整因子'!$D$53*'3. 调整因子'!$D$59,H84*'3. 调整因子'!$D$53*'3. 调整因子'!$D$58)),IF(I84="中",IF(J84="删除",H84*'3. 调整因子'!$D$54*'3. 调整因子'!$D$60,IF(J84="修改",H84*'3. 调整因子'!$D$54*'3. 调整因子'!$D$59,H84*'3. 调整因子'!$D$54*'3. 调整因子'!$D$58)),IF(J84="删除",H84*'3. 调整因子'!$D$55*'3. 调整因子'!$D$60,IF(J84="修改",H84*'3. 调整因子'!$D$55*'3. 调整因子'!$D$59,H84*'3. 调整因子'!$D$55*'3. 调整因子'!$D$58)))))</f>
        <v>1.33333333333333</v>
      </c>
      <c r="L84" s="87"/>
    </row>
    <row r="85" s="52" customFormat="1" spans="1:12">
      <c r="A85" s="75">
        <f t="shared" si="6"/>
        <v>77</v>
      </c>
      <c r="B85" s="75" t="s">
        <v>38</v>
      </c>
      <c r="C85" s="75" t="s">
        <v>39</v>
      </c>
      <c r="D85" s="75" t="s">
        <v>39</v>
      </c>
      <c r="E85" s="76" t="s">
        <v>40</v>
      </c>
      <c r="F85" s="85" t="s">
        <v>125</v>
      </c>
      <c r="G85" s="86" t="s">
        <v>42</v>
      </c>
      <c r="H85" s="78">
        <f>IF(G85="ILF",'3. 调整因子'!$D$63,IF(G85="EIF",'3. 调整因子'!$D$64,IF(G85="EI",'3. 调整因子'!$D$65,IF(G85="EO",'3. 调整因子'!$D$66,IF(G85="EQ",'3. 调整因子'!$D$67,"")))))</f>
        <v>7</v>
      </c>
      <c r="I85" s="83" t="s">
        <v>43</v>
      </c>
      <c r="J85" s="83" t="s">
        <v>66</v>
      </c>
      <c r="K85" s="80">
        <f>IF(H85="","",IF(I85="高",IF(J85="删除",H85*'3. 调整因子'!$D$53*'3. 调整因子'!$D$60,IF(J85="修改",H85*'3. 调整因子'!$D$53*'3. 调整因子'!$D$59,H85*'3. 调整因子'!$D$53*'3. 调整因子'!$D$58)),IF(I85="中",IF(J85="删除",H85*'3. 调整因子'!$D$54*'3. 调整因子'!$D$60,IF(J85="修改",H85*'3. 调整因子'!$D$54*'3. 调整因子'!$D$59,H85*'3. 调整因子'!$D$54*'3. 调整因子'!$D$58)),IF(J85="删除",H85*'3. 调整因子'!$D$55*'3. 调整因子'!$D$60,IF(J85="修改",H85*'3. 调整因子'!$D$55*'3. 调整因子'!$D$59,H85*'3. 调整因子'!$D$55*'3. 调整因子'!$D$58)))))</f>
        <v>1.86666666666666</v>
      </c>
      <c r="L85" s="87"/>
    </row>
    <row r="86" s="52" customFormat="1" spans="1:12">
      <c r="A86" s="75">
        <f t="shared" si="6"/>
        <v>78</v>
      </c>
      <c r="B86" s="75" t="s">
        <v>38</v>
      </c>
      <c r="C86" s="75" t="s">
        <v>39</v>
      </c>
      <c r="D86" s="75" t="s">
        <v>39</v>
      </c>
      <c r="E86" s="76" t="s">
        <v>40</v>
      </c>
      <c r="F86" s="76" t="s">
        <v>126</v>
      </c>
      <c r="G86" s="77" t="s">
        <v>46</v>
      </c>
      <c r="H86" s="78">
        <f>IF(G86="ILF",'3. 调整因子'!$D$63,IF(G86="EIF",'3. 调整因子'!$D$64,IF(G86="EI",'3. 调整因子'!$D$65,IF(G86="EO",'3. 调整因子'!$D$66,IF(G86="EQ",'3. 调整因子'!$D$67,"")))))</f>
        <v>4</v>
      </c>
      <c r="I86" s="79" t="s">
        <v>43</v>
      </c>
      <c r="J86" s="82" t="s">
        <v>44</v>
      </c>
      <c r="K86" s="80">
        <f>IF(H86="","",IF(I86="高",IF(J86="删除",H86*'3. 调整因子'!$D$53*'3. 调整因子'!$D$60,IF(J86="修改",H86*'3. 调整因子'!$D$53*'3. 调整因子'!$D$59,H86*'3. 调整因子'!$D$53*'3. 调整因子'!$D$58)),IF(I86="中",IF(J86="删除",H86*'3. 调整因子'!$D$54*'3. 调整因子'!$D$60,IF(J86="修改",H86*'3. 调整因子'!$D$54*'3. 调整因子'!$D$59,H86*'3. 调整因子'!$D$54*'3. 调整因子'!$D$58)),IF(J86="删除",H86*'3. 调整因子'!$D$55*'3. 调整因子'!$D$60,IF(J86="修改",H86*'3. 调整因子'!$D$55*'3. 调整因子'!$D$59,H86*'3. 调整因子'!$D$55*'3. 调整因子'!$D$58)))))</f>
        <v>1.33333333333333</v>
      </c>
      <c r="L86" s="87"/>
    </row>
    <row r="87" s="52" customFormat="1" spans="1:12">
      <c r="A87" s="75">
        <f t="shared" si="6"/>
        <v>79</v>
      </c>
      <c r="B87" s="75" t="s">
        <v>38</v>
      </c>
      <c r="C87" s="75" t="s">
        <v>39</v>
      </c>
      <c r="D87" s="75" t="s">
        <v>39</v>
      </c>
      <c r="E87" s="76" t="s">
        <v>40</v>
      </c>
      <c r="F87" s="76" t="s">
        <v>127</v>
      </c>
      <c r="G87" s="77" t="s">
        <v>54</v>
      </c>
      <c r="H87" s="78">
        <f>IF(G87="ILF",'3. 调整因子'!$D$63,IF(G87="EIF",'3. 调整因子'!$D$64,IF(G87="EI",'3. 调整因子'!$D$65,IF(G87="EO",'3. 调整因子'!$D$66,IF(G87="EQ",'3. 调整因子'!$D$67,"")))))</f>
        <v>5</v>
      </c>
      <c r="I87" s="79" t="s">
        <v>43</v>
      </c>
      <c r="J87" s="82" t="s">
        <v>44</v>
      </c>
      <c r="K87" s="80">
        <f>IF(H87="","",IF(I87="高",IF(J87="删除",H87*'3. 调整因子'!$D$53*'3. 调整因子'!$D$60,IF(J87="修改",H87*'3. 调整因子'!$D$53*'3. 调整因子'!$D$59,H87*'3. 调整因子'!$D$53*'3. 调整因子'!$D$58)),IF(I87="中",IF(J87="删除",H87*'3. 调整因子'!$D$54*'3. 调整因子'!$D$60,IF(J87="修改",H87*'3. 调整因子'!$D$54*'3. 调整因子'!$D$59,H87*'3. 调整因子'!$D$54*'3. 调整因子'!$D$58)),IF(J87="删除",H87*'3. 调整因子'!$D$55*'3. 调整因子'!$D$60,IF(J87="修改",H87*'3. 调整因子'!$D$55*'3. 调整因子'!$D$59,H87*'3. 调整因子'!$D$55*'3. 调整因子'!$D$58)))))</f>
        <v>1.66666666666666</v>
      </c>
      <c r="L87" s="87"/>
    </row>
    <row r="88" s="52" customFormat="1" spans="1:12">
      <c r="A88" s="75">
        <f t="shared" si="6"/>
        <v>80</v>
      </c>
      <c r="B88" s="75" t="s">
        <v>38</v>
      </c>
      <c r="C88" s="75" t="s">
        <v>39</v>
      </c>
      <c r="D88" s="75" t="s">
        <v>39</v>
      </c>
      <c r="E88" s="76" t="s">
        <v>40</v>
      </c>
      <c r="F88" s="76" t="s">
        <v>128</v>
      </c>
      <c r="G88" s="77" t="s">
        <v>54</v>
      </c>
      <c r="H88" s="78">
        <f>IF(G88="ILF",'3. 调整因子'!$D$63,IF(G88="EIF",'3. 调整因子'!$D$64,IF(G88="EI",'3. 调整因子'!$D$65,IF(G88="EO",'3. 调整因子'!$D$66,IF(G88="EQ",'3. 调整因子'!$D$67,"")))))</f>
        <v>5</v>
      </c>
      <c r="I88" s="79" t="s">
        <v>61</v>
      </c>
      <c r="J88" s="82" t="s">
        <v>66</v>
      </c>
      <c r="K88" s="80">
        <f>IF(H88="","",IF(I88="高",IF(J88="删除",H88*'3. 调整因子'!$D$53*'3. 调整因子'!$D$60,IF(J88="修改",H88*'3. 调整因子'!$D$53*'3. 调整因子'!$D$59,H88*'3. 调整因子'!$D$53*'3. 调整因子'!$D$58)),IF(I88="中",IF(J88="删除",H88*'3. 调整因子'!$D$54*'3. 调整因子'!$D$60,IF(J88="修改",H88*'3. 调整因子'!$D$54*'3. 调整因子'!$D$59,H88*'3. 调整因子'!$D$54*'3. 调整因子'!$D$58)),IF(J88="删除",H88*'3. 调整因子'!$D$55*'3. 调整因子'!$D$60,IF(J88="修改",H88*'3. 调整因子'!$D$55*'3. 调整因子'!$D$59,H88*'3. 调整因子'!$D$55*'3. 调整因子'!$D$58)))))</f>
        <v>2.66666666666667</v>
      </c>
      <c r="L88" s="87"/>
    </row>
    <row r="89" s="52" customFormat="1" spans="1:12">
      <c r="A89" s="75">
        <f t="shared" si="6"/>
        <v>81</v>
      </c>
      <c r="B89" s="75" t="s">
        <v>38</v>
      </c>
      <c r="C89" s="75" t="s">
        <v>39</v>
      </c>
      <c r="D89" s="75" t="s">
        <v>39</v>
      </c>
      <c r="E89" s="76" t="s">
        <v>40</v>
      </c>
      <c r="F89" s="76" t="s">
        <v>129</v>
      </c>
      <c r="G89" s="77" t="s">
        <v>54</v>
      </c>
      <c r="H89" s="78">
        <f>IF(G89="ILF",'3. 调整因子'!$D$63,IF(G89="EIF",'3. 调整因子'!$D$64,IF(G89="EI",'3. 调整因子'!$D$65,IF(G89="EO",'3. 调整因子'!$D$66,IF(G89="EQ",'3. 调整因子'!$D$67,"")))))</f>
        <v>5</v>
      </c>
      <c r="I89" s="79" t="s">
        <v>61</v>
      </c>
      <c r="J89" s="82" t="s">
        <v>44</v>
      </c>
      <c r="K89" s="80">
        <f>IF(H89="","",IF(I89="高",IF(J89="删除",H89*'3. 调整因子'!$D$53*'3. 调整因子'!$D$60,IF(J89="修改",H89*'3. 调整因子'!$D$53*'3. 调整因子'!$D$59,H89*'3. 调整因子'!$D$53*'3. 调整因子'!$D$58)),IF(I89="中",IF(J89="删除",H89*'3. 调整因子'!$D$54*'3. 调整因子'!$D$60,IF(J89="修改",H89*'3. 调整因子'!$D$54*'3. 调整因子'!$D$59,H89*'3. 调整因子'!$D$54*'3. 调整因子'!$D$58)),IF(J89="删除",H89*'3. 调整因子'!$D$55*'3. 调整因子'!$D$60,IF(J89="修改",H89*'3. 调整因子'!$D$55*'3. 调整因子'!$D$59,H89*'3. 调整因子'!$D$55*'3. 调整因子'!$D$58)))))</f>
        <v>3.33333333333333</v>
      </c>
      <c r="L89" s="87"/>
    </row>
    <row r="90" s="52" customFormat="1" spans="1:12">
      <c r="A90" s="75">
        <f t="shared" ref="A90:A105" si="7">ROW()-8</f>
        <v>82</v>
      </c>
      <c r="B90" s="75" t="s">
        <v>38</v>
      </c>
      <c r="C90" s="75" t="s">
        <v>39</v>
      </c>
      <c r="D90" s="75" t="s">
        <v>39</v>
      </c>
      <c r="E90" s="76" t="s">
        <v>40</v>
      </c>
      <c r="F90" s="76" t="s">
        <v>130</v>
      </c>
      <c r="G90" s="77" t="s">
        <v>54</v>
      </c>
      <c r="H90" s="78">
        <f>IF(G90="ILF",'3. 调整因子'!$D$63,IF(G90="EIF",'3. 调整因子'!$D$64,IF(G90="EI",'3. 调整因子'!$D$65,IF(G90="EO",'3. 调整因子'!$D$66,IF(G90="EQ",'3. 调整因子'!$D$67,"")))))</f>
        <v>5</v>
      </c>
      <c r="I90" s="79" t="s">
        <v>61</v>
      </c>
      <c r="J90" s="82" t="s">
        <v>44</v>
      </c>
      <c r="K90" s="80">
        <f>IF(H90="","",IF(I90="高",IF(J90="删除",H90*'3. 调整因子'!$D$53*'3. 调整因子'!$D$60,IF(J90="修改",H90*'3. 调整因子'!$D$53*'3. 调整因子'!$D$59,H90*'3. 调整因子'!$D$53*'3. 调整因子'!$D$58)),IF(I90="中",IF(J90="删除",H90*'3. 调整因子'!$D$54*'3. 调整因子'!$D$60,IF(J90="修改",H90*'3. 调整因子'!$D$54*'3. 调整因子'!$D$59,H90*'3. 调整因子'!$D$54*'3. 调整因子'!$D$58)),IF(J90="删除",H90*'3. 调整因子'!$D$55*'3. 调整因子'!$D$60,IF(J90="修改",H90*'3. 调整因子'!$D$55*'3. 调整因子'!$D$59,H90*'3. 调整因子'!$D$55*'3. 调整因子'!$D$58)))))</f>
        <v>3.33333333333333</v>
      </c>
      <c r="L90" s="87"/>
    </row>
    <row r="91" s="52" customFormat="1" spans="1:12">
      <c r="A91" s="75">
        <f t="shared" si="7"/>
        <v>83</v>
      </c>
      <c r="B91" s="75" t="s">
        <v>38</v>
      </c>
      <c r="C91" s="75" t="s">
        <v>39</v>
      </c>
      <c r="D91" s="75" t="s">
        <v>39</v>
      </c>
      <c r="E91" s="76" t="s">
        <v>40</v>
      </c>
      <c r="F91" s="76" t="s">
        <v>131</v>
      </c>
      <c r="G91" s="77" t="s">
        <v>54</v>
      </c>
      <c r="H91" s="78">
        <f>IF(G91="ILF",'3. 调整因子'!$D$63,IF(G91="EIF",'3. 调整因子'!$D$64,IF(G91="EI",'3. 调整因子'!$D$65,IF(G91="EO",'3. 调整因子'!$D$66,IF(G91="EQ",'3. 调整因子'!$D$67,"")))))</f>
        <v>5</v>
      </c>
      <c r="I91" s="79" t="s">
        <v>43</v>
      </c>
      <c r="J91" s="82" t="s">
        <v>44</v>
      </c>
      <c r="K91" s="80">
        <f>IF(H91="","",IF(I91="高",IF(J91="删除",H91*'3. 调整因子'!$D$53*'3. 调整因子'!$D$60,IF(J91="修改",H91*'3. 调整因子'!$D$53*'3. 调整因子'!$D$59,H91*'3. 调整因子'!$D$53*'3. 调整因子'!$D$58)),IF(I91="中",IF(J91="删除",H91*'3. 调整因子'!$D$54*'3. 调整因子'!$D$60,IF(J91="修改",H91*'3. 调整因子'!$D$54*'3. 调整因子'!$D$59,H91*'3. 调整因子'!$D$54*'3. 调整因子'!$D$58)),IF(J91="删除",H91*'3. 调整因子'!$D$55*'3. 调整因子'!$D$60,IF(J91="修改",H91*'3. 调整因子'!$D$55*'3. 调整因子'!$D$59,H91*'3. 调整因子'!$D$55*'3. 调整因子'!$D$58)))))</f>
        <v>1.66666666666666</v>
      </c>
      <c r="L91" s="87"/>
    </row>
    <row r="92" s="52" customFormat="1" spans="1:12">
      <c r="A92" s="75">
        <f t="shared" si="7"/>
        <v>84</v>
      </c>
      <c r="B92" s="75" t="s">
        <v>38</v>
      </c>
      <c r="C92" s="75" t="s">
        <v>39</v>
      </c>
      <c r="D92" s="75" t="s">
        <v>39</v>
      </c>
      <c r="E92" s="76" t="s">
        <v>40</v>
      </c>
      <c r="F92" s="76" t="s">
        <v>132</v>
      </c>
      <c r="G92" s="77" t="s">
        <v>50</v>
      </c>
      <c r="H92" s="78">
        <f>IF(G92="ILF",'3. 调整因子'!$D$63,IF(G92="EIF",'3. 调整因子'!$D$64,IF(G92="EI",'3. 调整因子'!$D$65,IF(G92="EO",'3. 调整因子'!$D$66,IF(G92="EQ",'3. 调整因子'!$D$67,"")))))</f>
        <v>4</v>
      </c>
      <c r="I92" s="79" t="s">
        <v>43</v>
      </c>
      <c r="J92" s="79" t="s">
        <v>44</v>
      </c>
      <c r="K92" s="80">
        <f>IF(H92="","",IF(I92="高",IF(J92="删除",H92*'3. 调整因子'!$D$53*'3. 调整因子'!$D$60,IF(J92="修改",H92*'3. 调整因子'!$D$53*'3. 调整因子'!$D$59,H92*'3. 调整因子'!$D$53*'3. 调整因子'!$D$58)),IF(I92="中",IF(J92="删除",H92*'3. 调整因子'!$D$54*'3. 调整因子'!$D$60,IF(J92="修改",H92*'3. 调整因子'!$D$54*'3. 调整因子'!$D$59,H92*'3. 调整因子'!$D$54*'3. 调整因子'!$D$58)),IF(J92="删除",H92*'3. 调整因子'!$D$55*'3. 调整因子'!$D$60,IF(J92="修改",H92*'3. 调整因子'!$D$55*'3. 调整因子'!$D$59,H92*'3. 调整因子'!$D$55*'3. 调整因子'!$D$58)))))</f>
        <v>1.33333333333333</v>
      </c>
      <c r="L92" s="87"/>
    </row>
    <row r="93" s="52" customFormat="1" spans="1:12">
      <c r="A93" s="75">
        <f t="shared" si="7"/>
        <v>85</v>
      </c>
      <c r="B93" s="75" t="s">
        <v>38</v>
      </c>
      <c r="C93" s="75" t="s">
        <v>39</v>
      </c>
      <c r="D93" s="75" t="s">
        <v>39</v>
      </c>
      <c r="E93" s="76" t="s">
        <v>40</v>
      </c>
      <c r="F93" s="76" t="s">
        <v>133</v>
      </c>
      <c r="G93" s="77" t="s">
        <v>54</v>
      </c>
      <c r="H93" s="78">
        <f>IF(G93="ILF",'3. 调整因子'!$D$63,IF(G93="EIF",'3. 调整因子'!$D$64,IF(G93="EI",'3. 调整因子'!$D$65,IF(G93="EO",'3. 调整因子'!$D$66,IF(G93="EQ",'3. 调整因子'!$D$67,"")))))</f>
        <v>5</v>
      </c>
      <c r="I93" s="79" t="s">
        <v>43</v>
      </c>
      <c r="J93" s="79" t="s">
        <v>44</v>
      </c>
      <c r="K93" s="80">
        <f>IF(H93="","",IF(I93="高",IF(J93="删除",H93*'3. 调整因子'!$D$53*'3. 调整因子'!$D$60,IF(J93="修改",H93*'3. 调整因子'!$D$53*'3. 调整因子'!$D$59,H93*'3. 调整因子'!$D$53*'3. 调整因子'!$D$58)),IF(I93="中",IF(J93="删除",H93*'3. 调整因子'!$D$54*'3. 调整因子'!$D$60,IF(J93="修改",H93*'3. 调整因子'!$D$54*'3. 调整因子'!$D$59,H93*'3. 调整因子'!$D$54*'3. 调整因子'!$D$58)),IF(J93="删除",H93*'3. 调整因子'!$D$55*'3. 调整因子'!$D$60,IF(J93="修改",H93*'3. 调整因子'!$D$55*'3. 调整因子'!$D$59,H93*'3. 调整因子'!$D$55*'3. 调整因子'!$D$58)))))</f>
        <v>1.66666666666666</v>
      </c>
      <c r="L93" s="87"/>
    </row>
    <row r="94" s="52" customFormat="1" spans="1:12">
      <c r="A94" s="75">
        <f t="shared" si="7"/>
        <v>86</v>
      </c>
      <c r="B94" s="75" t="s">
        <v>38</v>
      </c>
      <c r="C94" s="75" t="s">
        <v>39</v>
      </c>
      <c r="D94" s="75" t="s">
        <v>39</v>
      </c>
      <c r="E94" s="76" t="s">
        <v>40</v>
      </c>
      <c r="F94" s="76" t="s">
        <v>134</v>
      </c>
      <c r="G94" s="77" t="s">
        <v>54</v>
      </c>
      <c r="H94" s="78">
        <f>IF(G94="ILF",'3. 调整因子'!$D$63,IF(G94="EIF",'3. 调整因子'!$D$64,IF(G94="EI",'3. 调整因子'!$D$65,IF(G94="EO",'3. 调整因子'!$D$66,IF(G94="EQ",'3. 调整因子'!$D$67,"")))))</f>
        <v>5</v>
      </c>
      <c r="I94" s="79" t="s">
        <v>135</v>
      </c>
      <c r="J94" s="79" t="s">
        <v>44</v>
      </c>
      <c r="K94" s="80">
        <f>IF(H94="","",IF(I94="高",IF(J94="删除",H94*'3. 调整因子'!$D$53*'3. 调整因子'!$D$60,IF(J94="修改",H94*'3. 调整因子'!$D$53*'3. 调整因子'!$D$59,H94*'3. 调整因子'!$D$53*'3. 调整因子'!$D$58)),IF(I94="中",IF(J94="删除",H94*'3. 调整因子'!$D$54*'3. 调整因子'!$D$60,IF(J94="修改",H94*'3. 调整因子'!$D$54*'3. 调整因子'!$D$59,H94*'3. 调整因子'!$D$54*'3. 调整因子'!$D$58)),IF(J94="删除",H94*'3. 调整因子'!$D$55*'3. 调整因子'!$D$60,IF(J94="修改",H94*'3. 调整因子'!$D$55*'3. 调整因子'!$D$59,H94*'3. 调整因子'!$D$55*'3. 调整因子'!$D$58)))))</f>
        <v>5</v>
      </c>
      <c r="L94" s="87"/>
    </row>
    <row r="95" s="52" customFormat="1" spans="1:12">
      <c r="A95" s="75">
        <f t="shared" si="7"/>
        <v>87</v>
      </c>
      <c r="B95" s="75" t="s">
        <v>38</v>
      </c>
      <c r="C95" s="75" t="s">
        <v>39</v>
      </c>
      <c r="D95" s="75" t="s">
        <v>39</v>
      </c>
      <c r="E95" s="76" t="s">
        <v>40</v>
      </c>
      <c r="F95" s="76" t="s">
        <v>136</v>
      </c>
      <c r="G95" s="77" t="s">
        <v>54</v>
      </c>
      <c r="H95" s="78">
        <f>IF(G95="ILF",'3. 调整因子'!$D$63,IF(G95="EIF",'3. 调整因子'!$D$64,IF(G95="EI",'3. 调整因子'!$D$65,IF(G95="EO",'3. 调整因子'!$D$66,IF(G95="EQ",'3. 调整因子'!$D$67,"")))))</f>
        <v>5</v>
      </c>
      <c r="I95" s="79" t="s">
        <v>135</v>
      </c>
      <c r="J95" s="79" t="s">
        <v>44</v>
      </c>
      <c r="K95" s="80">
        <f>IF(H95="","",IF(I95="高",IF(J95="删除",H95*'3. 调整因子'!$D$53*'3. 调整因子'!$D$60,IF(J95="修改",H95*'3. 调整因子'!$D$53*'3. 调整因子'!$D$59,H95*'3. 调整因子'!$D$53*'3. 调整因子'!$D$58)),IF(I95="中",IF(J95="删除",H95*'3. 调整因子'!$D$54*'3. 调整因子'!$D$60,IF(J95="修改",H95*'3. 调整因子'!$D$54*'3. 调整因子'!$D$59,H95*'3. 调整因子'!$D$54*'3. 调整因子'!$D$58)),IF(J95="删除",H95*'3. 调整因子'!$D$55*'3. 调整因子'!$D$60,IF(J95="修改",H95*'3. 调整因子'!$D$55*'3. 调整因子'!$D$59,H95*'3. 调整因子'!$D$55*'3. 调整因子'!$D$58)))))</f>
        <v>5</v>
      </c>
      <c r="L95" s="87"/>
    </row>
    <row r="96" s="52" customFormat="1" spans="1:12">
      <c r="A96" s="75">
        <f t="shared" si="7"/>
        <v>88</v>
      </c>
      <c r="B96" s="75" t="s">
        <v>38</v>
      </c>
      <c r="C96" s="75" t="s">
        <v>39</v>
      </c>
      <c r="D96" s="75" t="s">
        <v>39</v>
      </c>
      <c r="E96" s="76" t="s">
        <v>40</v>
      </c>
      <c r="F96" s="76" t="s">
        <v>137</v>
      </c>
      <c r="G96" s="77" t="s">
        <v>54</v>
      </c>
      <c r="H96" s="78">
        <f>IF(G96="ILF",'3. 调整因子'!$D$63,IF(G96="EIF",'3. 调整因子'!$D$64,IF(G96="EI",'3. 调整因子'!$D$65,IF(G96="EO",'3. 调整因子'!$D$66,IF(G96="EQ",'3. 调整因子'!$D$67,"")))))</f>
        <v>5</v>
      </c>
      <c r="I96" s="79" t="s">
        <v>61</v>
      </c>
      <c r="J96" s="79" t="s">
        <v>44</v>
      </c>
      <c r="K96" s="80">
        <f>IF(H96="","",IF(I96="高",IF(J96="删除",H96*'3. 调整因子'!$D$53*'3. 调整因子'!$D$60,IF(J96="修改",H96*'3. 调整因子'!$D$53*'3. 调整因子'!$D$59,H96*'3. 调整因子'!$D$53*'3. 调整因子'!$D$58)),IF(I96="中",IF(J96="删除",H96*'3. 调整因子'!$D$54*'3. 调整因子'!$D$60,IF(J96="修改",H96*'3. 调整因子'!$D$54*'3. 调整因子'!$D$59,H96*'3. 调整因子'!$D$54*'3. 调整因子'!$D$58)),IF(J96="删除",H96*'3. 调整因子'!$D$55*'3. 调整因子'!$D$60,IF(J96="修改",H96*'3. 调整因子'!$D$55*'3. 调整因子'!$D$59,H96*'3. 调整因子'!$D$55*'3. 调整因子'!$D$58)))))</f>
        <v>3.33333333333333</v>
      </c>
      <c r="L96" s="87"/>
    </row>
    <row r="97" s="52" customFormat="1" spans="1:12">
      <c r="A97" s="75">
        <f t="shared" si="7"/>
        <v>89</v>
      </c>
      <c r="B97" s="75" t="s">
        <v>38</v>
      </c>
      <c r="C97" s="75" t="s">
        <v>39</v>
      </c>
      <c r="D97" s="75" t="s">
        <v>39</v>
      </c>
      <c r="E97" s="76" t="s">
        <v>40</v>
      </c>
      <c r="F97" s="76" t="s">
        <v>138</v>
      </c>
      <c r="G97" s="77" t="s">
        <v>54</v>
      </c>
      <c r="H97" s="78">
        <f>IF(G97="ILF",'3. 调整因子'!$D$63,IF(G97="EIF",'3. 调整因子'!$D$64,IF(G97="EI",'3. 调整因子'!$D$65,IF(G97="EO",'3. 调整因子'!$D$66,IF(G97="EQ",'3. 调整因子'!$D$67,"")))))</f>
        <v>5</v>
      </c>
      <c r="I97" s="79" t="s">
        <v>61</v>
      </c>
      <c r="J97" s="79" t="s">
        <v>44</v>
      </c>
      <c r="K97" s="80">
        <f>IF(H97="","",IF(I97="高",IF(J97="删除",H97*'3. 调整因子'!$D$53*'3. 调整因子'!$D$60,IF(J97="修改",H97*'3. 调整因子'!$D$53*'3. 调整因子'!$D$59,H97*'3. 调整因子'!$D$53*'3. 调整因子'!$D$58)),IF(I97="中",IF(J97="删除",H97*'3. 调整因子'!$D$54*'3. 调整因子'!$D$60,IF(J97="修改",H97*'3. 调整因子'!$D$54*'3. 调整因子'!$D$59,H97*'3. 调整因子'!$D$54*'3. 调整因子'!$D$58)),IF(J97="删除",H97*'3. 调整因子'!$D$55*'3. 调整因子'!$D$60,IF(J97="修改",H97*'3. 调整因子'!$D$55*'3. 调整因子'!$D$59,H97*'3. 调整因子'!$D$55*'3. 调整因子'!$D$58)))))</f>
        <v>3.33333333333333</v>
      </c>
      <c r="L97" s="87"/>
    </row>
    <row r="98" s="52" customFormat="1" spans="1:12">
      <c r="A98" s="75">
        <f t="shared" si="7"/>
        <v>90</v>
      </c>
      <c r="B98" s="75" t="s">
        <v>38</v>
      </c>
      <c r="C98" s="75" t="s">
        <v>39</v>
      </c>
      <c r="D98" s="75" t="s">
        <v>39</v>
      </c>
      <c r="E98" s="76" t="s">
        <v>40</v>
      </c>
      <c r="F98" s="76" t="s">
        <v>139</v>
      </c>
      <c r="G98" s="77" t="s">
        <v>54</v>
      </c>
      <c r="H98" s="78">
        <f>IF(G98="ILF",'3. 调整因子'!$D$63,IF(G98="EIF",'3. 调整因子'!$D$64,IF(G98="EI",'3. 调整因子'!$D$65,IF(G98="EO",'3. 调整因子'!$D$66,IF(G98="EQ",'3. 调整因子'!$D$67,"")))))</f>
        <v>5</v>
      </c>
      <c r="I98" s="79" t="s">
        <v>43</v>
      </c>
      <c r="J98" s="79" t="s">
        <v>44</v>
      </c>
      <c r="K98" s="80">
        <f>IF(H98="","",IF(I98="高",IF(J98="删除",H98*'3. 调整因子'!$D$53*'3. 调整因子'!$D$60,IF(J98="修改",H98*'3. 调整因子'!$D$53*'3. 调整因子'!$D$59,H98*'3. 调整因子'!$D$53*'3. 调整因子'!$D$58)),IF(I98="中",IF(J98="删除",H98*'3. 调整因子'!$D$54*'3. 调整因子'!$D$60,IF(J98="修改",H98*'3. 调整因子'!$D$54*'3. 调整因子'!$D$59,H98*'3. 调整因子'!$D$54*'3. 调整因子'!$D$58)),IF(J98="删除",H98*'3. 调整因子'!$D$55*'3. 调整因子'!$D$60,IF(J98="修改",H98*'3. 调整因子'!$D$55*'3. 调整因子'!$D$59,H98*'3. 调整因子'!$D$55*'3. 调整因子'!$D$58)))))</f>
        <v>1.66666666666666</v>
      </c>
      <c r="L98" s="87"/>
    </row>
    <row r="99" s="52" customFormat="1" spans="1:12">
      <c r="A99" s="75">
        <f t="shared" si="7"/>
        <v>91</v>
      </c>
      <c r="B99" s="75" t="s">
        <v>38</v>
      </c>
      <c r="C99" s="75" t="s">
        <v>39</v>
      </c>
      <c r="D99" s="75" t="s">
        <v>39</v>
      </c>
      <c r="E99" s="76" t="s">
        <v>40</v>
      </c>
      <c r="F99" s="76" t="s">
        <v>140</v>
      </c>
      <c r="G99" s="77" t="s">
        <v>54</v>
      </c>
      <c r="H99" s="78">
        <f>IF(G99="ILF",'3. 调整因子'!$D$63,IF(G99="EIF",'3. 调整因子'!$D$64,IF(G99="EI",'3. 调整因子'!$D$65,IF(G99="EO",'3. 调整因子'!$D$66,IF(G99="EQ",'3. 调整因子'!$D$67,"")))))</f>
        <v>5</v>
      </c>
      <c r="I99" s="79" t="s">
        <v>43</v>
      </c>
      <c r="J99" s="79" t="s">
        <v>44</v>
      </c>
      <c r="K99" s="80">
        <f>IF(H99="","",IF(I99="高",IF(J99="删除",H99*'3. 调整因子'!$D$53*'3. 调整因子'!$D$60,IF(J99="修改",H99*'3. 调整因子'!$D$53*'3. 调整因子'!$D$59,H99*'3. 调整因子'!$D$53*'3. 调整因子'!$D$58)),IF(I99="中",IF(J99="删除",H99*'3. 调整因子'!$D$54*'3. 调整因子'!$D$60,IF(J99="修改",H99*'3. 调整因子'!$D$54*'3. 调整因子'!$D$59,H99*'3. 调整因子'!$D$54*'3. 调整因子'!$D$58)),IF(J99="删除",H99*'3. 调整因子'!$D$55*'3. 调整因子'!$D$60,IF(J99="修改",H99*'3. 调整因子'!$D$55*'3. 调整因子'!$D$59,H99*'3. 调整因子'!$D$55*'3. 调整因子'!$D$58)))))</f>
        <v>1.66666666666666</v>
      </c>
      <c r="L99" s="87"/>
    </row>
    <row r="100" s="52" customFormat="1" spans="1:12">
      <c r="A100" s="75">
        <f t="shared" si="7"/>
        <v>92</v>
      </c>
      <c r="B100" s="75" t="s">
        <v>38</v>
      </c>
      <c r="C100" s="75" t="s">
        <v>39</v>
      </c>
      <c r="D100" s="75" t="s">
        <v>39</v>
      </c>
      <c r="E100" s="76" t="s">
        <v>40</v>
      </c>
      <c r="F100" s="76" t="s">
        <v>141</v>
      </c>
      <c r="G100" s="77" t="s">
        <v>54</v>
      </c>
      <c r="H100" s="78">
        <f>IF(G100="ILF",'3. 调整因子'!$D$63,IF(G100="EIF",'3. 调整因子'!$D$64,IF(G100="EI",'3. 调整因子'!$D$65,IF(G100="EO",'3. 调整因子'!$D$66,IF(G100="EQ",'3. 调整因子'!$D$67,"")))))</f>
        <v>5</v>
      </c>
      <c r="I100" s="79" t="s">
        <v>43</v>
      </c>
      <c r="J100" s="79" t="s">
        <v>44</v>
      </c>
      <c r="K100" s="80">
        <f>IF(H100="","",IF(I100="高",IF(J100="删除",H100*'3. 调整因子'!$D$53*'3. 调整因子'!$D$60,IF(J100="修改",H100*'3. 调整因子'!$D$53*'3. 调整因子'!$D$59,H100*'3. 调整因子'!$D$53*'3. 调整因子'!$D$58)),IF(I100="中",IF(J100="删除",H100*'3. 调整因子'!$D$54*'3. 调整因子'!$D$60,IF(J100="修改",H100*'3. 调整因子'!$D$54*'3. 调整因子'!$D$59,H100*'3. 调整因子'!$D$54*'3. 调整因子'!$D$58)),IF(J100="删除",H100*'3. 调整因子'!$D$55*'3. 调整因子'!$D$60,IF(J100="修改",H100*'3. 调整因子'!$D$55*'3. 调整因子'!$D$59,H100*'3. 调整因子'!$D$55*'3. 调整因子'!$D$58)))))</f>
        <v>1.66666666666666</v>
      </c>
      <c r="L100" s="87"/>
    </row>
    <row r="101" s="52" customFormat="1" spans="1:12">
      <c r="A101" s="75">
        <f t="shared" si="7"/>
        <v>93</v>
      </c>
      <c r="B101" s="75" t="s">
        <v>38</v>
      </c>
      <c r="C101" s="75" t="s">
        <v>39</v>
      </c>
      <c r="D101" s="75" t="s">
        <v>39</v>
      </c>
      <c r="E101" s="76" t="s">
        <v>40</v>
      </c>
      <c r="F101" s="76" t="s">
        <v>142</v>
      </c>
      <c r="G101" s="77" t="s">
        <v>54</v>
      </c>
      <c r="H101" s="78">
        <f>IF(G101="ILF",'3. 调整因子'!$D$63,IF(G101="EIF",'3. 调整因子'!$D$64,IF(G101="EI",'3. 调整因子'!$D$65,IF(G101="EO",'3. 调整因子'!$D$66,IF(G101="EQ",'3. 调整因子'!$D$67,"")))))</f>
        <v>5</v>
      </c>
      <c r="I101" s="79" t="s">
        <v>43</v>
      </c>
      <c r="J101" s="79" t="s">
        <v>44</v>
      </c>
      <c r="K101" s="80">
        <f>IF(H101="","",IF(I101="高",IF(J101="删除",H101*'3. 调整因子'!$D$53*'3. 调整因子'!$D$60,IF(J101="修改",H101*'3. 调整因子'!$D$53*'3. 调整因子'!$D$59,H101*'3. 调整因子'!$D$53*'3. 调整因子'!$D$58)),IF(I101="中",IF(J101="删除",H101*'3. 调整因子'!$D$54*'3. 调整因子'!$D$60,IF(J101="修改",H101*'3. 调整因子'!$D$54*'3. 调整因子'!$D$59,H101*'3. 调整因子'!$D$54*'3. 调整因子'!$D$58)),IF(J101="删除",H101*'3. 调整因子'!$D$55*'3. 调整因子'!$D$60,IF(J101="修改",H101*'3. 调整因子'!$D$55*'3. 调整因子'!$D$59,H101*'3. 调整因子'!$D$55*'3. 调整因子'!$D$58)))))</f>
        <v>1.66666666666666</v>
      </c>
      <c r="L101" s="87"/>
    </row>
    <row r="102" s="52" customFormat="1" spans="1:12">
      <c r="A102" s="75">
        <f t="shared" si="7"/>
        <v>94</v>
      </c>
      <c r="B102" s="75" t="s">
        <v>38</v>
      </c>
      <c r="C102" s="75" t="s">
        <v>39</v>
      </c>
      <c r="D102" s="75" t="s">
        <v>39</v>
      </c>
      <c r="E102" s="76" t="s">
        <v>40</v>
      </c>
      <c r="F102" s="85" t="s">
        <v>143</v>
      </c>
      <c r="G102" s="86" t="s">
        <v>42</v>
      </c>
      <c r="H102" s="78">
        <f>IF(G102="ILF",'3. 调整因子'!$D$63,IF(G102="EIF",'3. 调整因子'!$D$64,IF(G102="EI",'3. 调整因子'!$D$65,IF(G102="EO",'3. 调整因子'!$D$66,IF(G102="EQ",'3. 调整因子'!$D$67,"")))))</f>
        <v>7</v>
      </c>
      <c r="I102" s="83" t="s">
        <v>43</v>
      </c>
      <c r="J102" s="83" t="s">
        <v>66</v>
      </c>
      <c r="K102" s="80">
        <f>IF(H102="","",IF(I102="高",IF(J102="删除",H102*'3. 调整因子'!$D$53*'3. 调整因子'!$D$60,IF(J102="修改",H102*'3. 调整因子'!$D$53*'3. 调整因子'!$D$59,H102*'3. 调整因子'!$D$53*'3. 调整因子'!$D$58)),IF(I102="中",IF(J102="删除",H102*'3. 调整因子'!$D$54*'3. 调整因子'!$D$60,IF(J102="修改",H102*'3. 调整因子'!$D$54*'3. 调整因子'!$D$59,H102*'3. 调整因子'!$D$54*'3. 调整因子'!$D$58)),IF(J102="删除",H102*'3. 调整因子'!$D$55*'3. 调整因子'!$D$60,IF(J102="修改",H102*'3. 调整因子'!$D$55*'3. 调整因子'!$D$59,H102*'3. 调整因子'!$D$55*'3. 调整因子'!$D$58)))))</f>
        <v>1.86666666666666</v>
      </c>
      <c r="L102" s="87"/>
    </row>
    <row r="103" s="52" customFormat="1" spans="1:12">
      <c r="A103" s="75">
        <f t="shared" si="7"/>
        <v>95</v>
      </c>
      <c r="B103" s="75" t="s">
        <v>38</v>
      </c>
      <c r="C103" s="75" t="s">
        <v>39</v>
      </c>
      <c r="D103" s="75" t="s">
        <v>39</v>
      </c>
      <c r="E103" s="76" t="s">
        <v>40</v>
      </c>
      <c r="F103" s="85" t="s">
        <v>144</v>
      </c>
      <c r="G103" s="86" t="s">
        <v>54</v>
      </c>
      <c r="H103" s="78">
        <f>IF(G103="ILF",'3. 调整因子'!$D$63,IF(G103="EIF",'3. 调整因子'!$D$64,IF(G103="EI",'3. 调整因子'!$D$65,IF(G103="EO",'3. 调整因子'!$D$66,IF(G103="EQ",'3. 调整因子'!$D$67,"")))))</f>
        <v>5</v>
      </c>
      <c r="I103" s="83" t="s">
        <v>61</v>
      </c>
      <c r="J103" s="83" t="s">
        <v>44</v>
      </c>
      <c r="K103" s="80">
        <f>IF(H103="","",IF(I103="高",IF(J103="删除",H103*'3. 调整因子'!$D$53*'3. 调整因子'!$D$60,IF(J103="修改",H103*'3. 调整因子'!$D$53*'3. 调整因子'!$D$59,H103*'3. 调整因子'!$D$53*'3. 调整因子'!$D$58)),IF(I103="中",IF(J103="删除",H103*'3. 调整因子'!$D$54*'3. 调整因子'!$D$60,IF(J103="修改",H103*'3. 调整因子'!$D$54*'3. 调整因子'!$D$59,H103*'3. 调整因子'!$D$54*'3. 调整因子'!$D$58)),IF(J103="删除",H103*'3. 调整因子'!$D$55*'3. 调整因子'!$D$60,IF(J103="修改",H103*'3. 调整因子'!$D$55*'3. 调整因子'!$D$59,H103*'3. 调整因子'!$D$55*'3. 调整因子'!$D$58)))))</f>
        <v>3.33333333333333</v>
      </c>
      <c r="L103" s="87"/>
    </row>
    <row r="104" s="52" customFormat="1" spans="1:12">
      <c r="A104" s="75">
        <f t="shared" si="7"/>
        <v>96</v>
      </c>
      <c r="B104" s="75" t="s">
        <v>38</v>
      </c>
      <c r="C104" s="75" t="s">
        <v>39</v>
      </c>
      <c r="D104" s="75" t="s">
        <v>39</v>
      </c>
      <c r="E104" s="76" t="s">
        <v>40</v>
      </c>
      <c r="F104" s="85" t="s">
        <v>145</v>
      </c>
      <c r="G104" s="86" t="s">
        <v>54</v>
      </c>
      <c r="H104" s="78">
        <f>IF(G104="ILF",'3. 调整因子'!$D$63,IF(G104="EIF",'3. 调整因子'!$D$64,IF(G104="EI",'3. 调整因子'!$D$65,IF(G104="EO",'3. 调整因子'!$D$66,IF(G104="EQ",'3. 调整因子'!$D$67,"")))))</f>
        <v>5</v>
      </c>
      <c r="I104" s="83" t="s">
        <v>43</v>
      </c>
      <c r="J104" s="83" t="s">
        <v>44</v>
      </c>
      <c r="K104" s="80">
        <f>IF(H104="","",IF(I104="高",IF(J104="删除",H104*'3. 调整因子'!$D$53*'3. 调整因子'!$D$60,IF(J104="修改",H104*'3. 调整因子'!$D$53*'3. 调整因子'!$D$59,H104*'3. 调整因子'!$D$53*'3. 调整因子'!$D$58)),IF(I104="中",IF(J104="删除",H104*'3. 调整因子'!$D$54*'3. 调整因子'!$D$60,IF(J104="修改",H104*'3. 调整因子'!$D$54*'3. 调整因子'!$D$59,H104*'3. 调整因子'!$D$54*'3. 调整因子'!$D$58)),IF(J104="删除",H104*'3. 调整因子'!$D$55*'3. 调整因子'!$D$60,IF(J104="修改",H104*'3. 调整因子'!$D$55*'3. 调整因子'!$D$59,H104*'3. 调整因子'!$D$55*'3. 调整因子'!$D$58)))))</f>
        <v>1.66666666666666</v>
      </c>
      <c r="L104" s="87"/>
    </row>
    <row r="105" s="52" customFormat="1" spans="1:12">
      <c r="A105" s="75">
        <f t="shared" si="7"/>
        <v>97</v>
      </c>
      <c r="B105" s="75" t="s">
        <v>38</v>
      </c>
      <c r="C105" s="75" t="s">
        <v>39</v>
      </c>
      <c r="D105" s="75" t="s">
        <v>39</v>
      </c>
      <c r="E105" s="76" t="s">
        <v>40</v>
      </c>
      <c r="F105" s="76" t="s">
        <v>146</v>
      </c>
      <c r="G105" s="77" t="s">
        <v>54</v>
      </c>
      <c r="H105" s="78">
        <f>IF(G105="ILF",'3. 调整因子'!$D$63,IF(G105="EIF",'3. 调整因子'!$D$64,IF(G105="EI",'3. 调整因子'!$D$65,IF(G105="EO",'3. 调整因子'!$D$66,IF(G105="EQ",'3. 调整因子'!$D$67,"")))))</f>
        <v>5</v>
      </c>
      <c r="I105" s="79" t="s">
        <v>61</v>
      </c>
      <c r="J105" s="79" t="s">
        <v>44</v>
      </c>
      <c r="K105" s="80">
        <f>IF(H105="","",IF(I105="高",IF(J105="删除",H105*'3. 调整因子'!$D$53*'3. 调整因子'!$D$60,IF(J105="修改",H105*'3. 调整因子'!$D$53*'3. 调整因子'!$D$59,H105*'3. 调整因子'!$D$53*'3. 调整因子'!$D$58)),IF(I105="中",IF(J105="删除",H105*'3. 调整因子'!$D$54*'3. 调整因子'!$D$60,IF(J105="修改",H105*'3. 调整因子'!$D$54*'3. 调整因子'!$D$59,H105*'3. 调整因子'!$D$54*'3. 调整因子'!$D$58)),IF(J105="删除",H105*'3. 调整因子'!$D$55*'3. 调整因子'!$D$60,IF(J105="修改",H105*'3. 调整因子'!$D$55*'3. 调整因子'!$D$59,H105*'3. 调整因子'!$D$55*'3. 调整因子'!$D$58)))))</f>
        <v>3.33333333333333</v>
      </c>
      <c r="L105" s="87"/>
    </row>
    <row r="106" s="52" customFormat="1" spans="1:12">
      <c r="A106" s="75">
        <f t="shared" ref="A106:A123" si="8">ROW()-8</f>
        <v>98</v>
      </c>
      <c r="B106" s="75" t="s">
        <v>38</v>
      </c>
      <c r="C106" s="75" t="s">
        <v>39</v>
      </c>
      <c r="D106" s="75" t="s">
        <v>39</v>
      </c>
      <c r="E106" s="76" t="s">
        <v>40</v>
      </c>
      <c r="F106" s="76" t="s">
        <v>147</v>
      </c>
      <c r="G106" s="77" t="s">
        <v>54</v>
      </c>
      <c r="H106" s="78">
        <f>IF(G106="ILF",'3. 调整因子'!$D$63,IF(G106="EIF",'3. 调整因子'!$D$64,IF(G106="EI",'3. 调整因子'!$D$65,IF(G106="EO",'3. 调整因子'!$D$66,IF(G106="EQ",'3. 调整因子'!$D$67,"")))))</f>
        <v>5</v>
      </c>
      <c r="I106" s="79" t="s">
        <v>43</v>
      </c>
      <c r="J106" s="79" t="s">
        <v>44</v>
      </c>
      <c r="K106" s="80">
        <f>IF(H106="","",IF(I106="高",IF(J106="删除",H106*'3. 调整因子'!$D$53*'3. 调整因子'!$D$60,IF(J106="修改",H106*'3. 调整因子'!$D$53*'3. 调整因子'!$D$59,H106*'3. 调整因子'!$D$53*'3. 调整因子'!$D$58)),IF(I106="中",IF(J106="删除",H106*'3. 调整因子'!$D$54*'3. 调整因子'!$D$60,IF(J106="修改",H106*'3. 调整因子'!$D$54*'3. 调整因子'!$D$59,H106*'3. 调整因子'!$D$54*'3. 调整因子'!$D$58)),IF(J106="删除",H106*'3. 调整因子'!$D$55*'3. 调整因子'!$D$60,IF(J106="修改",H106*'3. 调整因子'!$D$55*'3. 调整因子'!$D$59,H106*'3. 调整因子'!$D$55*'3. 调整因子'!$D$58)))))</f>
        <v>1.66666666666666</v>
      </c>
      <c r="L106" s="87"/>
    </row>
    <row r="107" s="52" customFormat="1" spans="1:12">
      <c r="A107" s="75">
        <f t="shared" si="8"/>
        <v>99</v>
      </c>
      <c r="B107" s="75" t="s">
        <v>38</v>
      </c>
      <c r="C107" s="75" t="s">
        <v>39</v>
      </c>
      <c r="D107" s="75" t="s">
        <v>39</v>
      </c>
      <c r="E107" s="76" t="s">
        <v>40</v>
      </c>
      <c r="F107" s="76" t="s">
        <v>148</v>
      </c>
      <c r="G107" s="77" t="s">
        <v>50</v>
      </c>
      <c r="H107" s="78">
        <f>IF(G107="ILF",'3. 调整因子'!$D$63,IF(G107="EIF",'3. 调整因子'!$D$64,IF(G107="EI",'3. 调整因子'!$D$65,IF(G107="EO",'3. 调整因子'!$D$66,IF(G107="EQ",'3. 调整因子'!$D$67,"")))))</f>
        <v>4</v>
      </c>
      <c r="I107" s="79" t="s">
        <v>43</v>
      </c>
      <c r="J107" s="79" t="s">
        <v>44</v>
      </c>
      <c r="K107" s="80">
        <f>IF(H107="","",IF(I107="高",IF(J107="删除",H107*'3. 调整因子'!$D$53*'3. 调整因子'!$D$60,IF(J107="修改",H107*'3. 调整因子'!$D$53*'3. 调整因子'!$D$59,H107*'3. 调整因子'!$D$53*'3. 调整因子'!$D$58)),IF(I107="中",IF(J107="删除",H107*'3. 调整因子'!$D$54*'3. 调整因子'!$D$60,IF(J107="修改",H107*'3. 调整因子'!$D$54*'3. 调整因子'!$D$59,H107*'3. 调整因子'!$D$54*'3. 调整因子'!$D$58)),IF(J107="删除",H107*'3. 调整因子'!$D$55*'3. 调整因子'!$D$60,IF(J107="修改",H107*'3. 调整因子'!$D$55*'3. 调整因子'!$D$59,H107*'3. 调整因子'!$D$55*'3. 调整因子'!$D$58)))))</f>
        <v>1.33333333333333</v>
      </c>
      <c r="L107" s="87"/>
    </row>
    <row r="108" s="52" customFormat="1" spans="1:12">
      <c r="A108" s="75">
        <f t="shared" si="8"/>
        <v>100</v>
      </c>
      <c r="B108" s="75" t="s">
        <v>38</v>
      </c>
      <c r="C108" s="75" t="s">
        <v>39</v>
      </c>
      <c r="D108" s="75" t="s">
        <v>39</v>
      </c>
      <c r="E108" s="76" t="s">
        <v>40</v>
      </c>
      <c r="F108" s="76" t="s">
        <v>149</v>
      </c>
      <c r="G108" s="77" t="s">
        <v>54</v>
      </c>
      <c r="H108" s="78">
        <f>IF(G108="ILF",'3. 调整因子'!$D$63,IF(G108="EIF",'3. 调整因子'!$D$64,IF(G108="EI",'3. 调整因子'!$D$65,IF(G108="EO",'3. 调整因子'!$D$66,IF(G108="EQ",'3. 调整因子'!$D$67,"")))))</f>
        <v>5</v>
      </c>
      <c r="I108" s="79" t="s">
        <v>43</v>
      </c>
      <c r="J108" s="79" t="s">
        <v>44</v>
      </c>
      <c r="K108" s="80">
        <f>IF(H108="","",IF(I108="高",IF(J108="删除",H108*'3. 调整因子'!$D$53*'3. 调整因子'!$D$60,IF(J108="修改",H108*'3. 调整因子'!$D$53*'3. 调整因子'!$D$59,H108*'3. 调整因子'!$D$53*'3. 调整因子'!$D$58)),IF(I108="中",IF(J108="删除",H108*'3. 调整因子'!$D$54*'3. 调整因子'!$D$60,IF(J108="修改",H108*'3. 调整因子'!$D$54*'3. 调整因子'!$D$59,H108*'3. 调整因子'!$D$54*'3. 调整因子'!$D$58)),IF(J108="删除",H108*'3. 调整因子'!$D$55*'3. 调整因子'!$D$60,IF(J108="修改",H108*'3. 调整因子'!$D$55*'3. 调整因子'!$D$59,H108*'3. 调整因子'!$D$55*'3. 调整因子'!$D$58)))))</f>
        <v>1.66666666666666</v>
      </c>
      <c r="L108" s="87"/>
    </row>
    <row r="109" s="52" customFormat="1" spans="1:12">
      <c r="A109" s="75">
        <f t="shared" si="8"/>
        <v>101</v>
      </c>
      <c r="B109" s="75" t="s">
        <v>38</v>
      </c>
      <c r="C109" s="75" t="s">
        <v>39</v>
      </c>
      <c r="D109" s="75" t="s">
        <v>39</v>
      </c>
      <c r="E109" s="76" t="s">
        <v>40</v>
      </c>
      <c r="F109" s="76" t="s">
        <v>150</v>
      </c>
      <c r="G109" s="77" t="s">
        <v>50</v>
      </c>
      <c r="H109" s="78">
        <f>IF(G109="ILF",'3. 调整因子'!$D$63,IF(G109="EIF",'3. 调整因子'!$D$64,IF(G109="EI",'3. 调整因子'!$D$65,IF(G109="EO",'3. 调整因子'!$D$66,IF(G109="EQ",'3. 调整因子'!$D$67,"")))))</f>
        <v>4</v>
      </c>
      <c r="I109" s="79" t="s">
        <v>43</v>
      </c>
      <c r="J109" s="79" t="s">
        <v>44</v>
      </c>
      <c r="K109" s="80">
        <f>IF(H109="","",IF(I109="高",IF(J109="删除",H109*'3. 调整因子'!$D$53*'3. 调整因子'!$D$60,IF(J109="修改",H109*'3. 调整因子'!$D$53*'3. 调整因子'!$D$59,H109*'3. 调整因子'!$D$53*'3. 调整因子'!$D$58)),IF(I109="中",IF(J109="删除",H109*'3. 调整因子'!$D$54*'3. 调整因子'!$D$60,IF(J109="修改",H109*'3. 调整因子'!$D$54*'3. 调整因子'!$D$59,H109*'3. 调整因子'!$D$54*'3. 调整因子'!$D$58)),IF(J109="删除",H109*'3. 调整因子'!$D$55*'3. 调整因子'!$D$60,IF(J109="修改",H109*'3. 调整因子'!$D$55*'3. 调整因子'!$D$59,H109*'3. 调整因子'!$D$55*'3. 调整因子'!$D$58)))))</f>
        <v>1.33333333333333</v>
      </c>
      <c r="L109" s="87"/>
    </row>
    <row r="110" s="52" customFormat="1" spans="1:12">
      <c r="A110" s="75">
        <f t="shared" si="8"/>
        <v>102</v>
      </c>
      <c r="B110" s="75" t="s">
        <v>38</v>
      </c>
      <c r="C110" s="75" t="s">
        <v>39</v>
      </c>
      <c r="D110" s="75" t="s">
        <v>39</v>
      </c>
      <c r="E110" s="76" t="s">
        <v>40</v>
      </c>
      <c r="F110" s="76" t="s">
        <v>151</v>
      </c>
      <c r="G110" s="77" t="s">
        <v>54</v>
      </c>
      <c r="H110" s="78">
        <f>IF(G110="ILF",'3. 调整因子'!$D$63,IF(G110="EIF",'3. 调整因子'!$D$64,IF(G110="EI",'3. 调整因子'!$D$65,IF(G110="EO",'3. 调整因子'!$D$66,IF(G110="EQ",'3. 调整因子'!$D$67,"")))))</f>
        <v>5</v>
      </c>
      <c r="I110" s="79" t="s">
        <v>43</v>
      </c>
      <c r="J110" s="79" t="s">
        <v>44</v>
      </c>
      <c r="K110" s="80">
        <f>IF(H110="","",IF(I110="高",IF(J110="删除",H110*'3. 调整因子'!$D$53*'3. 调整因子'!$D$60,IF(J110="修改",H110*'3. 调整因子'!$D$53*'3. 调整因子'!$D$59,H110*'3. 调整因子'!$D$53*'3. 调整因子'!$D$58)),IF(I110="中",IF(J110="删除",H110*'3. 调整因子'!$D$54*'3. 调整因子'!$D$60,IF(J110="修改",H110*'3. 调整因子'!$D$54*'3. 调整因子'!$D$59,H110*'3. 调整因子'!$D$54*'3. 调整因子'!$D$58)),IF(J110="删除",H110*'3. 调整因子'!$D$55*'3. 调整因子'!$D$60,IF(J110="修改",H110*'3. 调整因子'!$D$55*'3. 调整因子'!$D$59,H110*'3. 调整因子'!$D$55*'3. 调整因子'!$D$58)))))</f>
        <v>1.66666666666666</v>
      </c>
      <c r="L110" s="87"/>
    </row>
    <row r="111" s="52" customFormat="1" spans="1:12">
      <c r="A111" s="75">
        <f t="shared" si="8"/>
        <v>103</v>
      </c>
      <c r="B111" s="75" t="s">
        <v>38</v>
      </c>
      <c r="C111" s="75" t="s">
        <v>39</v>
      </c>
      <c r="D111" s="75" t="s">
        <v>39</v>
      </c>
      <c r="E111" s="76" t="s">
        <v>40</v>
      </c>
      <c r="F111" s="76" t="s">
        <v>152</v>
      </c>
      <c r="G111" s="77" t="s">
        <v>50</v>
      </c>
      <c r="H111" s="78">
        <f>IF(G111="ILF",'3. 调整因子'!$D$63,IF(G111="EIF",'3. 调整因子'!$D$64,IF(G111="EI",'3. 调整因子'!$D$65,IF(G111="EO",'3. 调整因子'!$D$66,IF(G111="EQ",'3. 调整因子'!$D$67,"")))))</f>
        <v>4</v>
      </c>
      <c r="I111" s="79" t="s">
        <v>43</v>
      </c>
      <c r="J111" s="79" t="s">
        <v>44</v>
      </c>
      <c r="K111" s="80">
        <f>IF(H111="","",IF(I111="高",IF(J111="删除",H111*'3. 调整因子'!$D$53*'3. 调整因子'!$D$60,IF(J111="修改",H111*'3. 调整因子'!$D$53*'3. 调整因子'!$D$59,H111*'3. 调整因子'!$D$53*'3. 调整因子'!$D$58)),IF(I111="中",IF(J111="删除",H111*'3. 调整因子'!$D$54*'3. 调整因子'!$D$60,IF(J111="修改",H111*'3. 调整因子'!$D$54*'3. 调整因子'!$D$59,H111*'3. 调整因子'!$D$54*'3. 调整因子'!$D$58)),IF(J111="删除",H111*'3. 调整因子'!$D$55*'3. 调整因子'!$D$60,IF(J111="修改",H111*'3. 调整因子'!$D$55*'3. 调整因子'!$D$59,H111*'3. 调整因子'!$D$55*'3. 调整因子'!$D$58)))))</f>
        <v>1.33333333333333</v>
      </c>
      <c r="L111" s="87"/>
    </row>
    <row r="112" s="52" customFormat="1" spans="1:12">
      <c r="A112" s="75">
        <f t="shared" si="8"/>
        <v>104</v>
      </c>
      <c r="B112" s="75" t="s">
        <v>38</v>
      </c>
      <c r="C112" s="75" t="s">
        <v>39</v>
      </c>
      <c r="D112" s="75" t="s">
        <v>39</v>
      </c>
      <c r="E112" s="76" t="s">
        <v>40</v>
      </c>
      <c r="F112" s="76" t="s">
        <v>153</v>
      </c>
      <c r="G112" s="77" t="s">
        <v>54</v>
      </c>
      <c r="H112" s="78">
        <f>IF(G112="ILF",'3. 调整因子'!$D$63,IF(G112="EIF",'3. 调整因子'!$D$64,IF(G112="EI",'3. 调整因子'!$D$65,IF(G112="EO",'3. 调整因子'!$D$66,IF(G112="EQ",'3. 调整因子'!$D$67,"")))))</f>
        <v>5</v>
      </c>
      <c r="I112" s="79" t="s">
        <v>43</v>
      </c>
      <c r="J112" s="79" t="s">
        <v>44</v>
      </c>
      <c r="K112" s="80">
        <f>IF(H112="","",IF(I112="高",IF(J112="删除",H112*'3. 调整因子'!$D$53*'3. 调整因子'!$D$60,IF(J112="修改",H112*'3. 调整因子'!$D$53*'3. 调整因子'!$D$59,H112*'3. 调整因子'!$D$53*'3. 调整因子'!$D$58)),IF(I112="中",IF(J112="删除",H112*'3. 调整因子'!$D$54*'3. 调整因子'!$D$60,IF(J112="修改",H112*'3. 调整因子'!$D$54*'3. 调整因子'!$D$59,H112*'3. 调整因子'!$D$54*'3. 调整因子'!$D$58)),IF(J112="删除",H112*'3. 调整因子'!$D$55*'3. 调整因子'!$D$60,IF(J112="修改",H112*'3. 调整因子'!$D$55*'3. 调整因子'!$D$59,H112*'3. 调整因子'!$D$55*'3. 调整因子'!$D$58)))))</f>
        <v>1.66666666666666</v>
      </c>
      <c r="L112" s="87"/>
    </row>
    <row r="113" s="52" customFormat="1" spans="1:12">
      <c r="A113" s="75">
        <f t="shared" si="8"/>
        <v>105</v>
      </c>
      <c r="B113" s="75" t="s">
        <v>38</v>
      </c>
      <c r="C113" s="75" t="s">
        <v>39</v>
      </c>
      <c r="D113" s="75" t="s">
        <v>39</v>
      </c>
      <c r="E113" s="76" t="s">
        <v>40</v>
      </c>
      <c r="F113" s="76" t="s">
        <v>154</v>
      </c>
      <c r="G113" s="77" t="s">
        <v>50</v>
      </c>
      <c r="H113" s="78">
        <f>IF(G113="ILF",'3. 调整因子'!$D$63,IF(G113="EIF",'3. 调整因子'!$D$64,IF(G113="EI",'3. 调整因子'!$D$65,IF(G113="EO",'3. 调整因子'!$D$66,IF(G113="EQ",'3. 调整因子'!$D$67,"")))))</f>
        <v>4</v>
      </c>
      <c r="I113" s="79" t="s">
        <v>43</v>
      </c>
      <c r="J113" s="79" t="s">
        <v>44</v>
      </c>
      <c r="K113" s="80">
        <f>IF(H113="","",IF(I113="高",IF(J113="删除",H113*'3. 调整因子'!$D$53*'3. 调整因子'!$D$60,IF(J113="修改",H113*'3. 调整因子'!$D$53*'3. 调整因子'!$D$59,H113*'3. 调整因子'!$D$53*'3. 调整因子'!$D$58)),IF(I113="中",IF(J113="删除",H113*'3. 调整因子'!$D$54*'3. 调整因子'!$D$60,IF(J113="修改",H113*'3. 调整因子'!$D$54*'3. 调整因子'!$D$59,H113*'3. 调整因子'!$D$54*'3. 调整因子'!$D$58)),IF(J113="删除",H113*'3. 调整因子'!$D$55*'3. 调整因子'!$D$60,IF(J113="修改",H113*'3. 调整因子'!$D$55*'3. 调整因子'!$D$59,H113*'3. 调整因子'!$D$55*'3. 调整因子'!$D$58)))))</f>
        <v>1.33333333333333</v>
      </c>
      <c r="L113" s="87"/>
    </row>
    <row r="114" s="52" customFormat="1" spans="1:12">
      <c r="A114" s="75">
        <f t="shared" si="8"/>
        <v>106</v>
      </c>
      <c r="B114" s="75" t="s">
        <v>38</v>
      </c>
      <c r="C114" s="75" t="s">
        <v>39</v>
      </c>
      <c r="D114" s="75" t="s">
        <v>39</v>
      </c>
      <c r="E114" s="76" t="s">
        <v>40</v>
      </c>
      <c r="F114" s="76" t="s">
        <v>155</v>
      </c>
      <c r="G114" s="77" t="s">
        <v>50</v>
      </c>
      <c r="H114" s="78">
        <f>IF(G114="ILF",'3. 调整因子'!$D$63,IF(G114="EIF",'3. 调整因子'!$D$64,IF(G114="EI",'3. 调整因子'!$D$65,IF(G114="EO",'3. 调整因子'!$D$66,IF(G114="EQ",'3. 调整因子'!$D$67,"")))))</f>
        <v>4</v>
      </c>
      <c r="I114" s="79" t="s">
        <v>43</v>
      </c>
      <c r="J114" s="79" t="s">
        <v>44</v>
      </c>
      <c r="K114" s="80">
        <f>IF(H114="","",IF(I114="高",IF(J114="删除",H114*'3. 调整因子'!$D$53*'3. 调整因子'!$D$60,IF(J114="修改",H114*'3. 调整因子'!$D$53*'3. 调整因子'!$D$59,H114*'3. 调整因子'!$D$53*'3. 调整因子'!$D$58)),IF(I114="中",IF(J114="删除",H114*'3. 调整因子'!$D$54*'3. 调整因子'!$D$60,IF(J114="修改",H114*'3. 调整因子'!$D$54*'3. 调整因子'!$D$59,H114*'3. 调整因子'!$D$54*'3. 调整因子'!$D$58)),IF(J114="删除",H114*'3. 调整因子'!$D$55*'3. 调整因子'!$D$60,IF(J114="修改",H114*'3. 调整因子'!$D$55*'3. 调整因子'!$D$59,H114*'3. 调整因子'!$D$55*'3. 调整因子'!$D$58)))))</f>
        <v>1.33333333333333</v>
      </c>
      <c r="L114" s="87"/>
    </row>
    <row r="115" s="52" customFormat="1" spans="1:12">
      <c r="A115" s="75">
        <f t="shared" si="8"/>
        <v>107</v>
      </c>
      <c r="B115" s="75" t="s">
        <v>38</v>
      </c>
      <c r="C115" s="75" t="s">
        <v>39</v>
      </c>
      <c r="D115" s="75" t="s">
        <v>39</v>
      </c>
      <c r="E115" s="76" t="s">
        <v>40</v>
      </c>
      <c r="F115" s="76" t="s">
        <v>156</v>
      </c>
      <c r="G115" s="77" t="s">
        <v>50</v>
      </c>
      <c r="H115" s="78">
        <f>IF(G115="ILF",'3. 调整因子'!$D$63,IF(G115="EIF",'3. 调整因子'!$D$64,IF(G115="EI",'3. 调整因子'!$D$65,IF(G115="EO",'3. 调整因子'!$D$66,IF(G115="EQ",'3. 调整因子'!$D$67,"")))))</f>
        <v>4</v>
      </c>
      <c r="I115" s="79" t="s">
        <v>43</v>
      </c>
      <c r="J115" s="79" t="s">
        <v>44</v>
      </c>
      <c r="K115" s="80">
        <f>IF(H115="","",IF(I115="高",IF(J115="删除",H115*'3. 调整因子'!$D$53*'3. 调整因子'!$D$60,IF(J115="修改",H115*'3. 调整因子'!$D$53*'3. 调整因子'!$D$59,H115*'3. 调整因子'!$D$53*'3. 调整因子'!$D$58)),IF(I115="中",IF(J115="删除",H115*'3. 调整因子'!$D$54*'3. 调整因子'!$D$60,IF(J115="修改",H115*'3. 调整因子'!$D$54*'3. 调整因子'!$D$59,H115*'3. 调整因子'!$D$54*'3. 调整因子'!$D$58)),IF(J115="删除",H115*'3. 调整因子'!$D$55*'3. 调整因子'!$D$60,IF(J115="修改",H115*'3. 调整因子'!$D$55*'3. 调整因子'!$D$59,H115*'3. 调整因子'!$D$55*'3. 调整因子'!$D$58)))))</f>
        <v>1.33333333333333</v>
      </c>
      <c r="L115" s="87"/>
    </row>
    <row r="116" s="52" customFormat="1" spans="1:12">
      <c r="A116" s="75">
        <f t="shared" si="8"/>
        <v>108</v>
      </c>
      <c r="B116" s="75" t="s">
        <v>38</v>
      </c>
      <c r="C116" s="75" t="s">
        <v>39</v>
      </c>
      <c r="D116" s="75" t="s">
        <v>39</v>
      </c>
      <c r="E116" s="76" t="s">
        <v>40</v>
      </c>
      <c r="F116" s="76" t="s">
        <v>157</v>
      </c>
      <c r="G116" s="77" t="s">
        <v>50</v>
      </c>
      <c r="H116" s="78">
        <f>IF(G116="ILF",'3. 调整因子'!$D$63,IF(G116="EIF",'3. 调整因子'!$D$64,IF(G116="EI",'3. 调整因子'!$D$65,IF(G116="EO",'3. 调整因子'!$D$66,IF(G116="EQ",'3. 调整因子'!$D$67,"")))))</f>
        <v>4</v>
      </c>
      <c r="I116" s="79" t="s">
        <v>43</v>
      </c>
      <c r="J116" s="79" t="s">
        <v>44</v>
      </c>
      <c r="K116" s="80">
        <f>IF(H116="","",IF(I116="高",IF(J116="删除",H116*'3. 调整因子'!$D$53*'3. 调整因子'!$D$60,IF(J116="修改",H116*'3. 调整因子'!$D$53*'3. 调整因子'!$D$59,H116*'3. 调整因子'!$D$53*'3. 调整因子'!$D$58)),IF(I116="中",IF(J116="删除",H116*'3. 调整因子'!$D$54*'3. 调整因子'!$D$60,IF(J116="修改",H116*'3. 调整因子'!$D$54*'3. 调整因子'!$D$59,H116*'3. 调整因子'!$D$54*'3. 调整因子'!$D$58)),IF(J116="删除",H116*'3. 调整因子'!$D$55*'3. 调整因子'!$D$60,IF(J116="修改",H116*'3. 调整因子'!$D$55*'3. 调整因子'!$D$59,H116*'3. 调整因子'!$D$55*'3. 调整因子'!$D$58)))))</f>
        <v>1.33333333333333</v>
      </c>
      <c r="L116" s="87"/>
    </row>
    <row r="117" s="52" customFormat="1" spans="1:12">
      <c r="A117" s="75">
        <f t="shared" si="8"/>
        <v>109</v>
      </c>
      <c r="B117" s="75" t="s">
        <v>38</v>
      </c>
      <c r="C117" s="75" t="s">
        <v>39</v>
      </c>
      <c r="D117" s="75" t="s">
        <v>39</v>
      </c>
      <c r="E117" s="76" t="s">
        <v>40</v>
      </c>
      <c r="F117" s="76" t="s">
        <v>158</v>
      </c>
      <c r="G117" s="77" t="s">
        <v>50</v>
      </c>
      <c r="H117" s="78">
        <f>IF(G117="ILF",'3. 调整因子'!$D$63,IF(G117="EIF",'3. 调整因子'!$D$64,IF(G117="EI",'3. 调整因子'!$D$65,IF(G117="EO",'3. 调整因子'!$D$66,IF(G117="EQ",'3. 调整因子'!$D$67,"")))))</f>
        <v>4</v>
      </c>
      <c r="I117" s="79" t="s">
        <v>43</v>
      </c>
      <c r="J117" s="79" t="s">
        <v>44</v>
      </c>
      <c r="K117" s="80">
        <f>IF(H117="","",IF(I117="高",IF(J117="删除",H117*'3. 调整因子'!$D$53*'3. 调整因子'!$D$60,IF(J117="修改",H117*'3. 调整因子'!$D$53*'3. 调整因子'!$D$59,H117*'3. 调整因子'!$D$53*'3. 调整因子'!$D$58)),IF(I117="中",IF(J117="删除",H117*'3. 调整因子'!$D$54*'3. 调整因子'!$D$60,IF(J117="修改",H117*'3. 调整因子'!$D$54*'3. 调整因子'!$D$59,H117*'3. 调整因子'!$D$54*'3. 调整因子'!$D$58)),IF(J117="删除",H117*'3. 调整因子'!$D$55*'3. 调整因子'!$D$60,IF(J117="修改",H117*'3. 调整因子'!$D$55*'3. 调整因子'!$D$59,H117*'3. 调整因子'!$D$55*'3. 调整因子'!$D$58)))))</f>
        <v>1.33333333333333</v>
      </c>
      <c r="L117" s="87"/>
    </row>
    <row r="118" s="52" customFormat="1" spans="1:12">
      <c r="A118" s="75">
        <f t="shared" si="8"/>
        <v>110</v>
      </c>
      <c r="B118" s="75" t="s">
        <v>38</v>
      </c>
      <c r="C118" s="75" t="s">
        <v>39</v>
      </c>
      <c r="D118" s="75" t="s">
        <v>39</v>
      </c>
      <c r="E118" s="76" t="s">
        <v>40</v>
      </c>
      <c r="F118" s="76" t="s">
        <v>159</v>
      </c>
      <c r="G118" s="77" t="s">
        <v>50</v>
      </c>
      <c r="H118" s="78">
        <f>IF(G118="ILF",'3. 调整因子'!$D$63,IF(G118="EIF",'3. 调整因子'!$D$64,IF(G118="EI",'3. 调整因子'!$D$65,IF(G118="EO",'3. 调整因子'!$D$66,IF(G118="EQ",'3. 调整因子'!$D$67,"")))))</f>
        <v>4</v>
      </c>
      <c r="I118" s="79" t="s">
        <v>43</v>
      </c>
      <c r="J118" s="79" t="s">
        <v>44</v>
      </c>
      <c r="K118" s="80">
        <f>IF(H118="","",IF(I118="高",IF(J118="删除",H118*'3. 调整因子'!$D$53*'3. 调整因子'!$D$60,IF(J118="修改",H118*'3. 调整因子'!$D$53*'3. 调整因子'!$D$59,H118*'3. 调整因子'!$D$53*'3. 调整因子'!$D$58)),IF(I118="中",IF(J118="删除",H118*'3. 调整因子'!$D$54*'3. 调整因子'!$D$60,IF(J118="修改",H118*'3. 调整因子'!$D$54*'3. 调整因子'!$D$59,H118*'3. 调整因子'!$D$54*'3. 调整因子'!$D$58)),IF(J118="删除",H118*'3. 调整因子'!$D$55*'3. 调整因子'!$D$60,IF(J118="修改",H118*'3. 调整因子'!$D$55*'3. 调整因子'!$D$59,H118*'3. 调整因子'!$D$55*'3. 调整因子'!$D$58)))))</f>
        <v>1.33333333333333</v>
      </c>
      <c r="L118" s="87"/>
    </row>
    <row r="119" s="52" customFormat="1" spans="1:12">
      <c r="A119" s="75">
        <f t="shared" si="8"/>
        <v>111</v>
      </c>
      <c r="B119" s="75" t="s">
        <v>38</v>
      </c>
      <c r="C119" s="75" t="s">
        <v>39</v>
      </c>
      <c r="D119" s="75" t="s">
        <v>39</v>
      </c>
      <c r="E119" s="76" t="s">
        <v>160</v>
      </c>
      <c r="F119" s="85" t="s">
        <v>161</v>
      </c>
      <c r="G119" s="86" t="s">
        <v>42</v>
      </c>
      <c r="H119" s="78">
        <f>IF(G119="ILF",'3. 调整因子'!$D$63,IF(G119="EIF",'3. 调整因子'!$D$64,IF(G119="EI",'3. 调整因子'!$D$65,IF(G119="EO",'3. 调整因子'!$D$66,IF(G119="EQ",'3. 调整因子'!$D$67,"")))))</f>
        <v>7</v>
      </c>
      <c r="I119" s="83" t="s">
        <v>43</v>
      </c>
      <c r="J119" s="83" t="s">
        <v>66</v>
      </c>
      <c r="K119" s="80">
        <f>IF(H119="","",IF(I119="高",IF(J119="删除",H119*'3. 调整因子'!$D$53*'3. 调整因子'!$D$60,IF(J119="修改",H119*'3. 调整因子'!$D$53*'3. 调整因子'!$D$59,H119*'3. 调整因子'!$D$53*'3. 调整因子'!$D$58)),IF(I119="中",IF(J119="删除",H119*'3. 调整因子'!$D$54*'3. 调整因子'!$D$60,IF(J119="修改",H119*'3. 调整因子'!$D$54*'3. 调整因子'!$D$59,H119*'3. 调整因子'!$D$54*'3. 调整因子'!$D$58)),IF(J119="删除",H119*'3. 调整因子'!$D$55*'3. 调整因子'!$D$60,IF(J119="修改",H119*'3. 调整因子'!$D$55*'3. 调整因子'!$D$59,H119*'3. 调整因子'!$D$55*'3. 调整因子'!$D$58)))))</f>
        <v>1.86666666666666</v>
      </c>
      <c r="L119" s="87"/>
    </row>
    <row r="120" s="52" customFormat="1" spans="1:12">
      <c r="A120" s="75">
        <f t="shared" si="8"/>
        <v>112</v>
      </c>
      <c r="B120" s="75" t="s">
        <v>38</v>
      </c>
      <c r="C120" s="75" t="s">
        <v>39</v>
      </c>
      <c r="D120" s="75" t="s">
        <v>39</v>
      </c>
      <c r="E120" s="76" t="s">
        <v>160</v>
      </c>
      <c r="F120" s="76" t="s">
        <v>162</v>
      </c>
      <c r="G120" s="77" t="s">
        <v>54</v>
      </c>
      <c r="H120" s="78">
        <f>IF(G120="ILF",'3. 调整因子'!$D$63,IF(G120="EIF",'3. 调整因子'!$D$64,IF(G120="EI",'3. 调整因子'!$D$65,IF(G120="EO",'3. 调整因子'!$D$66,IF(G120="EQ",'3. 调整因子'!$D$67,"")))))</f>
        <v>5</v>
      </c>
      <c r="I120" s="79" t="s">
        <v>61</v>
      </c>
      <c r="J120" s="79" t="s">
        <v>44</v>
      </c>
      <c r="K120" s="80">
        <f>IF(H120="","",IF(I120="高",IF(J120="删除",H120*'3. 调整因子'!$D$53*'3. 调整因子'!$D$60,IF(J120="修改",H120*'3. 调整因子'!$D$53*'3. 调整因子'!$D$59,H120*'3. 调整因子'!$D$53*'3. 调整因子'!$D$58)),IF(I120="中",IF(J120="删除",H120*'3. 调整因子'!$D$54*'3. 调整因子'!$D$60,IF(J120="修改",H120*'3. 调整因子'!$D$54*'3. 调整因子'!$D$59,H120*'3. 调整因子'!$D$54*'3. 调整因子'!$D$58)),IF(J120="删除",H120*'3. 调整因子'!$D$55*'3. 调整因子'!$D$60,IF(J120="修改",H120*'3. 调整因子'!$D$55*'3. 调整因子'!$D$59,H120*'3. 调整因子'!$D$55*'3. 调整因子'!$D$58)))))</f>
        <v>3.33333333333333</v>
      </c>
      <c r="L120" s="87"/>
    </row>
    <row r="121" s="52" customFormat="1" spans="1:12">
      <c r="A121" s="75">
        <f t="shared" si="8"/>
        <v>113</v>
      </c>
      <c r="B121" s="75" t="s">
        <v>38</v>
      </c>
      <c r="C121" s="75" t="s">
        <v>39</v>
      </c>
      <c r="D121" s="75" t="s">
        <v>39</v>
      </c>
      <c r="E121" s="76" t="s">
        <v>160</v>
      </c>
      <c r="F121" s="76" t="s">
        <v>163</v>
      </c>
      <c r="G121" s="77" t="s">
        <v>54</v>
      </c>
      <c r="H121" s="78">
        <f>IF(G121="ILF",'3. 调整因子'!$D$63,IF(G121="EIF",'3. 调整因子'!$D$64,IF(G121="EI",'3. 调整因子'!$D$65,IF(G121="EO",'3. 调整因子'!$D$66,IF(G121="EQ",'3. 调整因子'!$D$67,"")))))</f>
        <v>5</v>
      </c>
      <c r="I121" s="79" t="s">
        <v>61</v>
      </c>
      <c r="J121" s="79" t="s">
        <v>44</v>
      </c>
      <c r="K121" s="80">
        <f>IF(H121="","",IF(I121="高",IF(J121="删除",H121*'3. 调整因子'!$D$53*'3. 调整因子'!$D$60,IF(J121="修改",H121*'3. 调整因子'!$D$53*'3. 调整因子'!$D$59,H121*'3. 调整因子'!$D$53*'3. 调整因子'!$D$58)),IF(I121="中",IF(J121="删除",H121*'3. 调整因子'!$D$54*'3. 调整因子'!$D$60,IF(J121="修改",H121*'3. 调整因子'!$D$54*'3. 调整因子'!$D$59,H121*'3. 调整因子'!$D$54*'3. 调整因子'!$D$58)),IF(J121="删除",H121*'3. 调整因子'!$D$55*'3. 调整因子'!$D$60,IF(J121="修改",H121*'3. 调整因子'!$D$55*'3. 调整因子'!$D$59,H121*'3. 调整因子'!$D$55*'3. 调整因子'!$D$58)))))</f>
        <v>3.33333333333333</v>
      </c>
      <c r="L121" s="87"/>
    </row>
    <row r="122" s="52" customFormat="1" spans="1:12">
      <c r="A122" s="75">
        <f t="shared" si="8"/>
        <v>114</v>
      </c>
      <c r="B122" s="75" t="s">
        <v>38</v>
      </c>
      <c r="C122" s="75" t="s">
        <v>39</v>
      </c>
      <c r="D122" s="75" t="s">
        <v>39</v>
      </c>
      <c r="E122" s="76" t="s">
        <v>160</v>
      </c>
      <c r="F122" s="76" t="s">
        <v>164</v>
      </c>
      <c r="G122" s="77" t="s">
        <v>54</v>
      </c>
      <c r="H122" s="78">
        <f>IF(G122="ILF",'3. 调整因子'!$D$63,IF(G122="EIF",'3. 调整因子'!$D$64,IF(G122="EI",'3. 调整因子'!$D$65,IF(G122="EO",'3. 调整因子'!$D$66,IF(G122="EQ",'3. 调整因子'!$D$67,"")))))</f>
        <v>5</v>
      </c>
      <c r="I122" s="79" t="s">
        <v>61</v>
      </c>
      <c r="J122" s="79" t="s">
        <v>44</v>
      </c>
      <c r="K122" s="80">
        <f>IF(H122="","",IF(I122="高",IF(J122="删除",H122*'3. 调整因子'!$D$53*'3. 调整因子'!$D$60,IF(J122="修改",H122*'3. 调整因子'!$D$53*'3. 调整因子'!$D$59,H122*'3. 调整因子'!$D$53*'3. 调整因子'!$D$58)),IF(I122="中",IF(J122="删除",H122*'3. 调整因子'!$D$54*'3. 调整因子'!$D$60,IF(J122="修改",H122*'3. 调整因子'!$D$54*'3. 调整因子'!$D$59,H122*'3. 调整因子'!$D$54*'3. 调整因子'!$D$58)),IF(J122="删除",H122*'3. 调整因子'!$D$55*'3. 调整因子'!$D$60,IF(J122="修改",H122*'3. 调整因子'!$D$55*'3. 调整因子'!$D$59,H122*'3. 调整因子'!$D$55*'3. 调整因子'!$D$58)))))</f>
        <v>3.33333333333333</v>
      </c>
      <c r="L122" s="87"/>
    </row>
    <row r="123" s="52" customFormat="1" spans="1:12">
      <c r="A123" s="75">
        <f t="shared" si="8"/>
        <v>115</v>
      </c>
      <c r="B123" s="75" t="s">
        <v>38</v>
      </c>
      <c r="C123" s="75" t="s">
        <v>39</v>
      </c>
      <c r="D123" s="75" t="s">
        <v>39</v>
      </c>
      <c r="E123" s="76" t="s">
        <v>160</v>
      </c>
      <c r="F123" s="76" t="s">
        <v>165</v>
      </c>
      <c r="G123" s="77" t="s">
        <v>46</v>
      </c>
      <c r="H123" s="78">
        <f>IF(G123="ILF",'3. 调整因子'!$D$63,IF(G123="EIF",'3. 调整因子'!$D$64,IF(G123="EI",'3. 调整因子'!$D$65,IF(G123="EO",'3. 调整因子'!$D$66,IF(G123="EQ",'3. 调整因子'!$D$67,"")))))</f>
        <v>4</v>
      </c>
      <c r="I123" s="79" t="s">
        <v>61</v>
      </c>
      <c r="J123" s="79" t="s">
        <v>44</v>
      </c>
      <c r="K123" s="80">
        <f>IF(H123="","",IF(I123="高",IF(J123="删除",H123*'3. 调整因子'!$D$53*'3. 调整因子'!$D$60,IF(J123="修改",H123*'3. 调整因子'!$D$53*'3. 调整因子'!$D$59,H123*'3. 调整因子'!$D$53*'3. 调整因子'!$D$58)),IF(I123="中",IF(J123="删除",H123*'3. 调整因子'!$D$54*'3. 调整因子'!$D$60,IF(J123="修改",H123*'3. 调整因子'!$D$54*'3. 调整因子'!$D$59,H123*'3. 调整因子'!$D$54*'3. 调整因子'!$D$58)),IF(J123="删除",H123*'3. 调整因子'!$D$55*'3. 调整因子'!$D$60,IF(J123="修改",H123*'3. 调整因子'!$D$55*'3. 调整因子'!$D$59,H123*'3. 调整因子'!$D$55*'3. 调整因子'!$D$58)))))</f>
        <v>2.66666666666667</v>
      </c>
      <c r="L123" s="87"/>
    </row>
    <row r="124" s="52" customFormat="1" spans="1:12">
      <c r="A124"/>
      <c r="B124" s="88"/>
      <c r="C124" s="88"/>
      <c r="D124" s="88"/>
      <c r="E124" s="88"/>
      <c r="F124" s="88"/>
      <c r="G124" s="89"/>
      <c r="H124" s="90">
        <f>SUM(H9:H123)</f>
        <v>578</v>
      </c>
      <c r="I124" s="91"/>
      <c r="J124" s="91"/>
      <c r="K124" s="90">
        <f>SUM(K9:K123)</f>
        <v>234.8</v>
      </c>
      <c r="L124" s="87"/>
    </row>
  </sheetData>
  <sheetProtection formatCells="0" formatColumns="0" formatRows="0" insertRows="0" insertHyperlinks="0" deleteRows="0" sort="0"/>
  <mergeCells count="9">
    <mergeCell ref="A1:L1"/>
    <mergeCell ref="A3:B3"/>
    <mergeCell ref="D3:L3"/>
    <mergeCell ref="A4:B4"/>
    <mergeCell ref="D4:L4"/>
    <mergeCell ref="A5:B5"/>
    <mergeCell ref="D5:L5"/>
    <mergeCell ref="A6:L6"/>
    <mergeCell ref="I124:J124"/>
  </mergeCells>
  <dataValidations count="4">
    <dataValidation type="list" allowBlank="1" showInputMessage="1" showErrorMessage="1" sqref="C3">
      <formula1>"软件开发计价模型"</formula1>
    </dataValidation>
    <dataValidation type="list" allowBlank="1" showInputMessage="1" showErrorMessage="1" sqref="J26 J40 J85 J9:J25 J27:J39 J41:J84 J86:J123">
      <formula1>"新增,修改,删除"</formula1>
    </dataValidation>
    <dataValidation type="list" allowBlank="1" showInputMessage="1" showErrorMessage="1" sqref="G9:G123">
      <formula1>"ILF,EIF,EI,EO,EQ"</formula1>
    </dataValidation>
    <dataValidation type="list" allowBlank="1" showInputMessage="1" showErrorMessage="1" sqref="I9:I123">
      <formula1>"高,中,低"</formula1>
    </dataValidation>
  </dataValidations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rgb="FFFFFF00"/>
  </sheetPr>
  <dimension ref="A1:I97"/>
  <sheetViews>
    <sheetView workbookViewId="0">
      <selection activeCell="C23" sqref="C23"/>
    </sheetView>
  </sheetViews>
  <sheetFormatPr defaultColWidth="9" defaultRowHeight="12"/>
  <cols>
    <col min="1" max="1" width="5.125" style="24" customWidth="1"/>
    <col min="2" max="2" width="11.8833333333333" style="24" customWidth="1"/>
    <col min="3" max="3" width="84.5" style="25" customWidth="1"/>
    <col min="4" max="4" width="11.5" style="23" customWidth="1"/>
    <col min="5" max="5" width="32.5" style="26" customWidth="1"/>
    <col min="6" max="6" width="6.5" style="25" customWidth="1"/>
    <col min="7" max="7" width="10.625" style="25" customWidth="1"/>
    <col min="8" max="16384" width="9" style="25"/>
  </cols>
  <sheetData>
    <row r="1" s="3" customFormat="1" ht="39.95" customHeight="1" spans="1:9">
      <c r="A1" s="27" t="s">
        <v>166</v>
      </c>
      <c r="B1" s="27"/>
      <c r="C1" s="27"/>
      <c r="D1" s="27"/>
      <c r="E1" s="28"/>
      <c r="F1" s="28"/>
      <c r="G1" s="28"/>
      <c r="H1" s="28"/>
      <c r="I1" s="28"/>
    </row>
    <row r="2" spans="1:9">
      <c r="A2" s="29" t="s">
        <v>167</v>
      </c>
      <c r="B2" s="29"/>
      <c r="C2" s="30" t="s">
        <v>168</v>
      </c>
      <c r="D2" s="31">
        <f>IF('3. 调整因子'!C2='3. 调整因子'!B36,'3. 调整因子'!D36,IF('3. 调整因子'!C2='3. 调整因子'!B37,'3. 调整因子'!D37,IF('3. 调整因子'!C2='3. 调整因子'!B38,'3. 调整因子'!D38,IF('3. 调整因子'!C2='3. 调整因子'!B39,'3. 调整因子'!D39,0))))</f>
        <v>1.21</v>
      </c>
      <c r="E2" s="25"/>
    </row>
    <row r="3" spans="1:9">
      <c r="A3" s="29" t="s">
        <v>169</v>
      </c>
      <c r="B3" s="29"/>
      <c r="C3" s="30" t="s">
        <v>170</v>
      </c>
      <c r="D3" s="32">
        <f>IF(C3=B12,D12,IF(C3=B13,D13,IF(C3=B14,D14,IF(C3=B15,D15,IF(C3=B16,D16,IF(C3=B17,D17,IF(C3=B18,D18,IF(C3=B19,D19,0))))))))</f>
        <v>1</v>
      </c>
      <c r="E3" s="25"/>
    </row>
    <row r="4" spans="1:9">
      <c r="A4" s="29" t="s">
        <v>171</v>
      </c>
      <c r="B4" s="33" t="s">
        <v>172</v>
      </c>
      <c r="C4" s="34" t="s">
        <v>173</v>
      </c>
      <c r="D4" s="35">
        <f>IF(C4=C22,D22,IF(C4=C23,D23,IF(C4=C24,D24,-10)))</f>
        <v>-1</v>
      </c>
      <c r="E4" s="36"/>
    </row>
    <row r="5" spans="1:9">
      <c r="A5" s="29"/>
      <c r="B5" s="33" t="s">
        <v>174</v>
      </c>
      <c r="C5" s="34" t="s">
        <v>175</v>
      </c>
      <c r="D5" s="35">
        <f>IF(C5=C25,D25,IF(C5=C26,D26,IF(C5=C27,D27,-10)))</f>
        <v>-1</v>
      </c>
      <c r="E5" s="36"/>
    </row>
    <row r="6" spans="1:9">
      <c r="A6" s="29"/>
      <c r="B6" s="33" t="s">
        <v>176</v>
      </c>
      <c r="C6" s="34" t="s">
        <v>177</v>
      </c>
      <c r="D6" s="35">
        <f>IF(C6=C28,D28,IF(C6=C29,D29,IF(C6=C30,D30,-10)))</f>
        <v>-1</v>
      </c>
      <c r="E6" s="36"/>
    </row>
    <row r="7" spans="1:9">
      <c r="A7" s="29"/>
      <c r="B7" s="33" t="s">
        <v>178</v>
      </c>
      <c r="C7" s="34" t="s">
        <v>179</v>
      </c>
      <c r="D7" s="35">
        <f>IF(C7=C31,D31,IF(C7=C32,D32,IF(C7=C33,D33,-10)))</f>
        <v>-1</v>
      </c>
      <c r="E7" s="36"/>
    </row>
    <row r="8" spans="1:9">
      <c r="A8" s="29" t="s">
        <v>180</v>
      </c>
      <c r="B8" s="29"/>
      <c r="C8" s="37" t="s">
        <v>181</v>
      </c>
      <c r="D8" s="32">
        <f>IF(C8=B43,D43,IF(C8=B44,D44,IF(C8=B45,D45,0)))</f>
        <v>1</v>
      </c>
      <c r="E8" s="25"/>
    </row>
    <row r="9" spans="1:9">
      <c r="A9" s="29" t="s">
        <v>182</v>
      </c>
      <c r="B9" s="29"/>
      <c r="C9" s="34" t="s">
        <v>183</v>
      </c>
      <c r="D9" s="32">
        <f>IF(C9=B48,D48,IF(C9=B49,D49,IF(C9=B50,D50,0)))</f>
        <v>0.8</v>
      </c>
      <c r="E9" s="25"/>
    </row>
    <row r="10" spans="1:9">
      <c r="E10" s="25"/>
    </row>
    <row r="11" spans="1:9">
      <c r="B11" s="38" t="s">
        <v>169</v>
      </c>
      <c r="C11" s="38" t="s">
        <v>184</v>
      </c>
      <c r="D11" s="38" t="s">
        <v>185</v>
      </c>
      <c r="E11" s="25"/>
    </row>
    <row r="12" spans="1:9">
      <c r="B12" s="39" t="s">
        <v>170</v>
      </c>
      <c r="C12" s="40" t="s">
        <v>186</v>
      </c>
      <c r="D12" s="41">
        <v>1</v>
      </c>
      <c r="E12" s="25"/>
    </row>
    <row r="13" spans="1:9">
      <c r="B13" s="39" t="s">
        <v>187</v>
      </c>
      <c r="C13" s="40" t="s">
        <v>188</v>
      </c>
      <c r="D13" s="41">
        <v>1.2</v>
      </c>
      <c r="E13" s="25"/>
    </row>
    <row r="14" spans="1:9">
      <c r="B14" s="39" t="s">
        <v>189</v>
      </c>
      <c r="C14" s="40" t="s">
        <v>190</v>
      </c>
      <c r="D14" s="41">
        <v>1.2</v>
      </c>
      <c r="E14" s="25"/>
    </row>
    <row r="15" spans="1:9">
      <c r="B15" s="39" t="s">
        <v>191</v>
      </c>
      <c r="C15" s="40" t="s">
        <v>192</v>
      </c>
      <c r="D15" s="41">
        <v>1.5</v>
      </c>
      <c r="E15" s="25"/>
    </row>
    <row r="16" spans="1:9">
      <c r="B16" s="39" t="s">
        <v>193</v>
      </c>
      <c r="C16" s="40" t="s">
        <v>194</v>
      </c>
      <c r="D16" s="41">
        <v>1.7</v>
      </c>
      <c r="E16" s="25"/>
    </row>
    <row r="17" ht="24" spans="2:5">
      <c r="B17" s="39" t="s">
        <v>195</v>
      </c>
      <c r="C17" s="40" t="s">
        <v>196</v>
      </c>
      <c r="D17" s="41">
        <v>1.7</v>
      </c>
      <c r="E17" s="25"/>
    </row>
    <row r="18" spans="2:5">
      <c r="B18" s="39" t="s">
        <v>197</v>
      </c>
      <c r="C18" s="40" t="s">
        <v>198</v>
      </c>
      <c r="D18" s="41">
        <v>1.9</v>
      </c>
      <c r="E18" s="25"/>
    </row>
    <row r="19" spans="2:5">
      <c r="B19" s="39" t="s">
        <v>199</v>
      </c>
      <c r="C19" s="40" t="s">
        <v>200</v>
      </c>
      <c r="D19" s="41">
        <v>2</v>
      </c>
      <c r="E19" s="25"/>
    </row>
    <row r="20" spans="2:5">
      <c r="E20" s="25"/>
    </row>
    <row r="21" spans="2:5">
      <c r="B21" s="38" t="s">
        <v>185</v>
      </c>
      <c r="C21" s="38" t="s">
        <v>201</v>
      </c>
      <c r="D21" s="38" t="s">
        <v>185</v>
      </c>
      <c r="E21" s="25"/>
    </row>
    <row r="22" spans="2:5">
      <c r="B22" s="39" t="s">
        <v>172</v>
      </c>
      <c r="C22" s="40" t="s">
        <v>173</v>
      </c>
      <c r="D22" s="39">
        <v>-1</v>
      </c>
      <c r="E22" s="25"/>
    </row>
    <row r="23" spans="2:5">
      <c r="B23" s="39"/>
      <c r="C23" s="40" t="s">
        <v>202</v>
      </c>
      <c r="D23" s="39">
        <v>0</v>
      </c>
      <c r="E23" s="25"/>
    </row>
    <row r="24" spans="2:5">
      <c r="B24" s="39"/>
      <c r="C24" s="40" t="s">
        <v>203</v>
      </c>
      <c r="D24" s="39">
        <v>1</v>
      </c>
      <c r="E24" s="25"/>
    </row>
    <row r="25" spans="2:5">
      <c r="B25" s="39" t="s">
        <v>174</v>
      </c>
      <c r="C25" s="40" t="s">
        <v>175</v>
      </c>
      <c r="D25" s="39">
        <v>-1</v>
      </c>
      <c r="E25" s="25"/>
    </row>
    <row r="26" spans="2:5">
      <c r="B26" s="39"/>
      <c r="C26" s="40" t="s">
        <v>204</v>
      </c>
      <c r="D26" s="39">
        <v>0</v>
      </c>
      <c r="E26" s="25"/>
    </row>
    <row r="27" spans="2:5">
      <c r="B27" s="39"/>
      <c r="C27" s="40" t="s">
        <v>205</v>
      </c>
      <c r="D27" s="39">
        <v>1</v>
      </c>
      <c r="E27" s="25"/>
    </row>
    <row r="28" spans="2:5">
      <c r="B28" s="39" t="s">
        <v>176</v>
      </c>
      <c r="C28" s="40" t="s">
        <v>177</v>
      </c>
      <c r="D28" s="39">
        <v>-1</v>
      </c>
      <c r="E28" s="25"/>
    </row>
    <row r="29" spans="2:5">
      <c r="B29" s="39"/>
      <c r="C29" s="40" t="s">
        <v>206</v>
      </c>
      <c r="D29" s="39">
        <v>0</v>
      </c>
      <c r="E29" s="25"/>
    </row>
    <row r="30" spans="2:5">
      <c r="B30" s="39"/>
      <c r="C30" s="40" t="s">
        <v>207</v>
      </c>
      <c r="D30" s="39">
        <v>1</v>
      </c>
      <c r="E30" s="25"/>
    </row>
    <row r="31" spans="2:5">
      <c r="B31" s="39" t="s">
        <v>178</v>
      </c>
      <c r="C31" s="40" t="s">
        <v>179</v>
      </c>
      <c r="D31" s="39">
        <v>-1</v>
      </c>
      <c r="E31" s="25"/>
    </row>
    <row r="32" spans="2:5">
      <c r="B32" s="39"/>
      <c r="C32" s="40" t="s">
        <v>208</v>
      </c>
      <c r="D32" s="39">
        <v>0</v>
      </c>
      <c r="E32" s="25"/>
    </row>
    <row r="33" spans="2:5">
      <c r="B33" s="39"/>
      <c r="C33" s="40" t="s">
        <v>209</v>
      </c>
      <c r="D33" s="39">
        <v>1</v>
      </c>
      <c r="E33" s="25"/>
    </row>
    <row r="34" spans="2:5">
      <c r="E34" s="25"/>
    </row>
    <row r="35" spans="2:5">
      <c r="B35" s="42" t="s">
        <v>210</v>
      </c>
      <c r="C35" s="42"/>
      <c r="D35" s="42"/>
      <c r="E35" s="25"/>
    </row>
    <row r="36" spans="2:5">
      <c r="B36" s="43" t="s">
        <v>211</v>
      </c>
      <c r="C36" s="44" t="s">
        <v>212</v>
      </c>
      <c r="D36" s="45">
        <v>1.39</v>
      </c>
      <c r="E36" s="25"/>
    </row>
    <row r="37" spans="2:5">
      <c r="B37" s="43" t="s">
        <v>168</v>
      </c>
      <c r="C37" s="44" t="s">
        <v>213</v>
      </c>
      <c r="D37" s="45">
        <v>1.21</v>
      </c>
      <c r="E37" s="25"/>
    </row>
    <row r="38" spans="2:5">
      <c r="B38" s="43" t="s">
        <v>214</v>
      </c>
      <c r="C38" s="44" t="s">
        <v>215</v>
      </c>
      <c r="D38" s="45">
        <v>1.1</v>
      </c>
      <c r="E38" s="25"/>
    </row>
    <row r="39" spans="2:5">
      <c r="B39" s="43" t="s">
        <v>216</v>
      </c>
      <c r="C39" s="44" t="s">
        <v>217</v>
      </c>
      <c r="D39" s="45">
        <v>1</v>
      </c>
      <c r="E39" s="25"/>
    </row>
    <row r="40" spans="2:5">
      <c r="B40" s="46"/>
      <c r="C40" s="46"/>
      <c r="D40" s="47"/>
      <c r="E40" s="25"/>
    </row>
    <row r="41" spans="2:5">
      <c r="E41" s="25"/>
    </row>
    <row r="42" spans="2:5">
      <c r="B42" s="29" t="s">
        <v>180</v>
      </c>
      <c r="C42" s="29"/>
      <c r="D42" s="29" t="s">
        <v>185</v>
      </c>
      <c r="E42" s="25"/>
    </row>
    <row r="43" spans="2:5">
      <c r="B43" s="39" t="s">
        <v>218</v>
      </c>
      <c r="C43" s="39"/>
      <c r="D43" s="41">
        <v>1.2</v>
      </c>
      <c r="E43" s="25"/>
    </row>
    <row r="44" spans="2:5">
      <c r="B44" s="39" t="s">
        <v>181</v>
      </c>
      <c r="C44" s="39"/>
      <c r="D44" s="41">
        <v>1</v>
      </c>
      <c r="E44" s="25"/>
    </row>
    <row r="45" spans="2:5">
      <c r="B45" s="39" t="s">
        <v>219</v>
      </c>
      <c r="C45" s="39"/>
      <c r="D45" s="41">
        <v>0.8</v>
      </c>
      <c r="E45" s="25"/>
    </row>
    <row r="46" spans="2:5">
      <c r="D46" s="25"/>
      <c r="E46" s="25"/>
    </row>
    <row r="47" spans="2:5">
      <c r="B47" s="38" t="s">
        <v>182</v>
      </c>
      <c r="C47" s="38"/>
      <c r="D47" s="38" t="s">
        <v>185</v>
      </c>
      <c r="E47" s="25"/>
    </row>
    <row r="48" spans="2:5">
      <c r="B48" s="39" t="s">
        <v>183</v>
      </c>
      <c r="C48" s="39"/>
      <c r="D48" s="41">
        <v>0.8</v>
      </c>
      <c r="E48" s="25"/>
    </row>
    <row r="49" spans="1:5">
      <c r="B49" s="39" t="s">
        <v>220</v>
      </c>
      <c r="C49" s="39"/>
      <c r="D49" s="41">
        <v>1</v>
      </c>
      <c r="E49" s="25"/>
    </row>
    <row r="50" spans="1:5">
      <c r="B50" s="39" t="s">
        <v>221</v>
      </c>
      <c r="C50" s="39"/>
      <c r="D50" s="41">
        <v>1.2</v>
      </c>
      <c r="E50" s="25"/>
    </row>
    <row r="51" spans="1:5">
      <c r="E51" s="25"/>
    </row>
    <row r="52" spans="1:5">
      <c r="B52" s="48" t="s">
        <v>222</v>
      </c>
      <c r="C52" s="48"/>
      <c r="D52" s="48" t="s">
        <v>223</v>
      </c>
      <c r="E52" s="25"/>
    </row>
    <row r="53" spans="1:5">
      <c r="B53" s="43" t="s">
        <v>43</v>
      </c>
      <c r="C53" s="43" t="s">
        <v>224</v>
      </c>
      <c r="D53" s="45">
        <f>1/3</f>
        <v>0.333333333333333</v>
      </c>
      <c r="E53" s="25"/>
    </row>
    <row r="54" spans="1:5">
      <c r="B54" s="43" t="s">
        <v>61</v>
      </c>
      <c r="C54" s="43" t="s">
        <v>225</v>
      </c>
      <c r="D54" s="45">
        <f>2/3</f>
        <v>0.666666666666667</v>
      </c>
      <c r="E54" s="25"/>
    </row>
    <row r="55" spans="1:5">
      <c r="B55" s="43" t="s">
        <v>135</v>
      </c>
      <c r="C55" s="43" t="s">
        <v>226</v>
      </c>
      <c r="D55" s="45">
        <f>1/1</f>
        <v>1</v>
      </c>
      <c r="E55" s="25"/>
    </row>
    <row r="56" spans="1:5">
      <c r="D56" s="25"/>
      <c r="E56" s="25"/>
    </row>
    <row r="57" spans="1:5">
      <c r="B57" s="48" t="s">
        <v>227</v>
      </c>
      <c r="C57" s="48"/>
      <c r="D57" s="48" t="s">
        <v>223</v>
      </c>
      <c r="E57" s="25"/>
    </row>
    <row r="58" spans="1:5">
      <c r="B58" s="43" t="s">
        <v>44</v>
      </c>
      <c r="C58" s="43" t="s">
        <v>228</v>
      </c>
      <c r="D58" s="45">
        <f>1/1</f>
        <v>1</v>
      </c>
      <c r="E58" s="36" t="s">
        <v>229</v>
      </c>
    </row>
    <row r="59" spans="1:5">
      <c r="B59" s="43" t="s">
        <v>66</v>
      </c>
      <c r="C59" s="43" t="s">
        <v>230</v>
      </c>
      <c r="D59" s="45">
        <v>0.8</v>
      </c>
      <c r="E59" s="36" t="s">
        <v>229</v>
      </c>
    </row>
    <row r="60" spans="1:5">
      <c r="B60" s="43" t="s">
        <v>231</v>
      </c>
      <c r="C60" s="43" t="s">
        <v>232</v>
      </c>
      <c r="D60" s="45">
        <v>0.2</v>
      </c>
      <c r="E60" s="36" t="s">
        <v>229</v>
      </c>
    </row>
    <row r="61" spans="1:5">
      <c r="D61" s="25"/>
      <c r="E61" s="25"/>
    </row>
    <row r="62" spans="1:5">
      <c r="B62" s="48" t="s">
        <v>11</v>
      </c>
      <c r="C62" s="48"/>
      <c r="D62" s="48" t="s">
        <v>223</v>
      </c>
      <c r="E62" s="25"/>
    </row>
    <row r="63" s="23" customFormat="1" spans="1:5">
      <c r="A63" s="49"/>
      <c r="B63" s="43" t="s">
        <v>42</v>
      </c>
      <c r="C63" s="43" t="s">
        <v>233</v>
      </c>
      <c r="D63" s="50">
        <v>7</v>
      </c>
      <c r="E63" s="36" t="s">
        <v>234</v>
      </c>
    </row>
    <row r="64" s="23" customFormat="1" spans="1:5">
      <c r="A64" s="49"/>
      <c r="B64" s="43" t="s">
        <v>235</v>
      </c>
      <c r="C64" s="43" t="s">
        <v>236</v>
      </c>
      <c r="D64" s="50">
        <v>5</v>
      </c>
      <c r="E64" s="36" t="s">
        <v>234</v>
      </c>
    </row>
    <row r="65" s="23" customFormat="1" spans="1:5">
      <c r="A65" s="49"/>
      <c r="B65" s="43" t="s">
        <v>46</v>
      </c>
      <c r="C65" s="43" t="s">
        <v>237</v>
      </c>
      <c r="D65" s="50">
        <v>4</v>
      </c>
      <c r="E65" s="36" t="s">
        <v>234</v>
      </c>
    </row>
    <row r="66" s="23" customFormat="1" spans="1:5">
      <c r="A66" s="49"/>
      <c r="B66" s="43" t="s">
        <v>54</v>
      </c>
      <c r="C66" s="43" t="s">
        <v>238</v>
      </c>
      <c r="D66" s="50">
        <v>5</v>
      </c>
      <c r="E66" s="36" t="s">
        <v>234</v>
      </c>
    </row>
    <row r="67" s="23" customFormat="1" spans="1:5">
      <c r="A67" s="49"/>
      <c r="B67" s="43" t="s">
        <v>50</v>
      </c>
      <c r="C67" s="43" t="s">
        <v>239</v>
      </c>
      <c r="D67" s="50">
        <v>4</v>
      </c>
      <c r="E67" s="36" t="s">
        <v>234</v>
      </c>
    </row>
    <row r="68" spans="1:5">
      <c r="E68" s="25"/>
    </row>
    <row r="69" spans="1:5">
      <c r="E69" s="25"/>
    </row>
    <row r="70" spans="1:5">
      <c r="E70" s="25"/>
    </row>
    <row r="71" spans="1:5">
      <c r="E71" s="25"/>
    </row>
    <row r="72" spans="1:5">
      <c r="E72" s="25"/>
    </row>
    <row r="73" spans="1:5">
      <c r="E73" s="25"/>
    </row>
    <row r="74" spans="1:5">
      <c r="E74" s="25"/>
    </row>
    <row r="92" spans="4:4">
      <c r="D92" s="25"/>
    </row>
    <row r="93" spans="4:4">
      <c r="D93" s="25"/>
    </row>
    <row r="94" spans="4:4">
      <c r="D94" s="25"/>
    </row>
    <row r="95" spans="4:4">
      <c r="D95" s="25"/>
    </row>
    <row r="96" spans="4:4">
      <c r="D96" s="25"/>
    </row>
    <row r="97" spans="4:4">
      <c r="D97" s="25"/>
    </row>
  </sheetData>
  <mergeCells count="22">
    <mergeCell ref="A1:D1"/>
    <mergeCell ref="A2:B2"/>
    <mergeCell ref="A3:B3"/>
    <mergeCell ref="A8:B8"/>
    <mergeCell ref="A9:B9"/>
    <mergeCell ref="B35:D35"/>
    <mergeCell ref="B42:C42"/>
    <mergeCell ref="B43:C43"/>
    <mergeCell ref="B44:C44"/>
    <mergeCell ref="B45:C45"/>
    <mergeCell ref="B47:C47"/>
    <mergeCell ref="B48:C48"/>
    <mergeCell ref="B49:C49"/>
    <mergeCell ref="B50:C50"/>
    <mergeCell ref="B52:C52"/>
    <mergeCell ref="B57:C57"/>
    <mergeCell ref="B62:C62"/>
    <mergeCell ref="A4:A7"/>
    <mergeCell ref="B22:B24"/>
    <mergeCell ref="B25:B27"/>
    <mergeCell ref="B28:B30"/>
    <mergeCell ref="B31:B33"/>
  </mergeCells>
  <dataValidations count="9">
    <dataValidation type="list" allowBlank="1" showInputMessage="1" showErrorMessage="1" sqref="C2">
      <formula1>$B$36:$B$39</formula1>
    </dataValidation>
    <dataValidation type="list" allowBlank="1" showInputMessage="1" showErrorMessage="1" sqref="C3">
      <formula1>$B$12:$B$19</formula1>
    </dataValidation>
    <dataValidation type="list" allowBlank="1" showInputMessage="1" showErrorMessage="1" sqref="C4">
      <formula1>$C$22:$C$24</formula1>
    </dataValidation>
    <dataValidation type="list" allowBlank="1" showInputMessage="1" showErrorMessage="1" sqref="C5">
      <formula1>$C$25:$C$27</formula1>
    </dataValidation>
    <dataValidation type="list" allowBlank="1" showInputMessage="1" showErrorMessage="1" sqref="C6 C10 C34 B40 C41 C46 C51 C56 C61">
      <formula1>$C$28:$C$30</formula1>
    </dataValidation>
    <dataValidation type="list" allowBlank="1" showInputMessage="1" showErrorMessage="1" sqref="C7">
      <formula1>$C$31:$C$33</formula1>
    </dataValidation>
    <dataValidation type="list" allowBlank="1" showInputMessage="1" showErrorMessage="1" sqref="C8">
      <formula1>$B$43:$B$45</formula1>
    </dataValidation>
    <dataValidation type="list" allowBlank="1" showInputMessage="1" showErrorMessage="1" sqref="C9">
      <formula1>$B$48:$B$50</formula1>
    </dataValidation>
    <dataValidation type="list" allowBlank="1" showInputMessage="1" showErrorMessage="1" sqref="B43:C43">
      <formula1>$B$43</formula1>
    </dataValidation>
  </dataValidations>
  <printOptions horizontalCentered="1"/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rgb="FFFF0000"/>
  </sheetPr>
  <dimension ref="A1:J13"/>
  <sheetViews>
    <sheetView workbookViewId="0">
      <selection activeCell="F21" sqref="F21"/>
    </sheetView>
  </sheetViews>
  <sheetFormatPr defaultColWidth="9" defaultRowHeight="13.5"/>
  <cols>
    <col min="1" max="1" width="8.625" customWidth="1"/>
    <col min="2" max="2" width="22.3833333333333" customWidth="1"/>
    <col min="3" max="3" width="12" customWidth="1"/>
    <col min="4" max="4" width="37.5" customWidth="1"/>
    <col min="5" max="5" width="12" customWidth="1"/>
  </cols>
  <sheetData>
    <row r="1" ht="39.95" customHeight="1" spans="1:10">
      <c r="A1" s="1" t="s">
        <v>240</v>
      </c>
      <c r="B1" s="1"/>
      <c r="C1" s="1"/>
      <c r="D1" s="1"/>
      <c r="E1" s="2"/>
      <c r="F1" s="2"/>
      <c r="G1" s="2"/>
      <c r="H1" s="2"/>
      <c r="I1" s="2"/>
      <c r="J1" s="2"/>
    </row>
    <row r="2" spans="1:10">
      <c r="G2" s="3"/>
      <c r="H2" s="3"/>
    </row>
    <row r="3" ht="15.95" customHeight="1" spans="1:10">
      <c r="A3" s="4"/>
      <c r="B3" s="4"/>
      <c r="C3" s="4" t="s">
        <v>241</v>
      </c>
      <c r="D3" s="4" t="s">
        <v>242</v>
      </c>
    </row>
    <row r="4" ht="15" customHeight="1" spans="1:10">
      <c r="A4" s="5" t="s">
        <v>243</v>
      </c>
      <c r="B4" s="5"/>
      <c r="C4" s="6">
        <f>'2. 规模估算'!K124</f>
        <v>234.8</v>
      </c>
      <c r="D4" s="7" t="s">
        <v>28</v>
      </c>
    </row>
    <row r="5" ht="15" customHeight="1" spans="1:10">
      <c r="A5" s="5" t="s">
        <v>244</v>
      </c>
      <c r="B5" s="5"/>
      <c r="C5" s="8">
        <f>'3. 调整因子'!D2</f>
        <v>1.21</v>
      </c>
      <c r="D5" s="7" t="s">
        <v>245</v>
      </c>
    </row>
    <row r="6" ht="15" customHeight="1" spans="1:10">
      <c r="A6" s="9" t="s">
        <v>246</v>
      </c>
      <c r="B6" s="9"/>
      <c r="C6" s="10">
        <f>C4*C5</f>
        <v>284.108</v>
      </c>
      <c r="D6" s="7" t="s">
        <v>247</v>
      </c>
      <c r="G6" s="11"/>
    </row>
    <row r="7" ht="15" customHeight="1" spans="1:10">
      <c r="A7" s="12" t="s">
        <v>248</v>
      </c>
      <c r="B7" s="13"/>
      <c r="C7" s="14">
        <v>10.12</v>
      </c>
      <c r="D7" s="15" t="s">
        <v>249</v>
      </c>
      <c r="E7" s="16"/>
      <c r="F7" s="16"/>
      <c r="G7" s="11"/>
    </row>
    <row r="8" ht="15" customHeight="1" spans="1:10">
      <c r="A8" s="17" t="s">
        <v>250</v>
      </c>
      <c r="B8" s="18"/>
      <c r="C8" s="8">
        <f>C6*C7/8</f>
        <v>359.39662</v>
      </c>
      <c r="D8" s="7" t="s">
        <v>251</v>
      </c>
    </row>
    <row r="9" ht="15" customHeight="1" spans="1:10">
      <c r="A9" s="19" t="s">
        <v>185</v>
      </c>
      <c r="B9" s="5" t="s">
        <v>169</v>
      </c>
      <c r="C9" s="20">
        <f>'3. 调整因子'!D3</f>
        <v>1</v>
      </c>
      <c r="D9" s="21" t="s">
        <v>252</v>
      </c>
    </row>
    <row r="10" ht="15" customHeight="1" spans="1:10">
      <c r="A10" s="19"/>
      <c r="B10" s="5" t="s">
        <v>171</v>
      </c>
      <c r="C10" s="20">
        <f>1+0.025*SUM('3. 调整因子'!D4:D7)</f>
        <v>0.9</v>
      </c>
      <c r="D10" s="21" t="s">
        <v>253</v>
      </c>
    </row>
    <row r="11" ht="15" customHeight="1" spans="1:10">
      <c r="A11" s="19"/>
      <c r="B11" s="5" t="s">
        <v>180</v>
      </c>
      <c r="C11" s="20">
        <f>'3. 调整因子'!D8</f>
        <v>1</v>
      </c>
      <c r="D11" s="21" t="s">
        <v>254</v>
      </c>
    </row>
    <row r="12" ht="15" customHeight="1" spans="1:10">
      <c r="A12" s="19"/>
      <c r="B12" s="5" t="s">
        <v>182</v>
      </c>
      <c r="C12" s="20">
        <f>'3. 调整因子'!D9</f>
        <v>0.8</v>
      </c>
      <c r="D12" s="21" t="s">
        <v>255</v>
      </c>
    </row>
    <row r="13" ht="15" customHeight="1" spans="1:10">
      <c r="A13" s="17" t="s">
        <v>256</v>
      </c>
      <c r="B13" s="18"/>
      <c r="C13" s="22">
        <f>C8*C9*C10*C11*C12</f>
        <v>258.7655664</v>
      </c>
      <c r="D13" s="7" t="s">
        <v>257</v>
      </c>
    </row>
  </sheetData>
  <mergeCells count="9">
    <mergeCell ref="A1:D1"/>
    <mergeCell ref="A3:B3"/>
    <mergeCell ref="A4:B4"/>
    <mergeCell ref="A5:B5"/>
    <mergeCell ref="A6:B6"/>
    <mergeCell ref="A7:B7"/>
    <mergeCell ref="A8:B8"/>
    <mergeCell ref="A13:B13"/>
    <mergeCell ref="A9:A12"/>
  </mergeCells>
  <printOptions horizontalCentered="1"/>
  <pageMargins left="0.708661417322835" right="0.708661417322835" top="0.748031496062992" bottom="0.748031496062992" header="0.31496062992126" footer="0.31496062992126"/>
  <pageSetup paperSize="9" orientation="landscape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中国系统与软件度量用户组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填写说明</vt:lpstr>
      <vt:lpstr>2. 规模估算</vt:lpstr>
      <vt:lpstr>3. 调整因子</vt:lpstr>
      <vt:lpstr>4. 评估结果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国税总局估算工具</dc:title>
  <dc:subject>工作量评估</dc:subject>
  <dc:creator>王海青</dc:creator>
  <cp:lastModifiedBy>临烟若离</cp:lastModifiedBy>
  <dcterms:created xsi:type="dcterms:W3CDTF">2025-09-14T12:14:00Z</dcterms:created>
  <cp:lastPrinted>2019-06-15T09:05:00Z</cp:lastPrinted>
  <dcterms:modified xsi:type="dcterms:W3CDTF">2025-12-09T02:26:15Z</dcterms:modified>
  <cp:category>计算器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641265B368B494FDAB9832698B6E9C29_43</vt:lpwstr>
  </property>
  <property fmtid="{D5CDD505-2E9C-101B-9397-08002B2CF9AE}" pid="3" name="KSOProductBuildVer">
    <vt:lpwstr>2052-12.1.0.23542</vt:lpwstr>
  </property>
</Properties>
</file>