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660"/>
  </bookViews>
  <sheets>
    <sheet name="3. 调整因子" sheetId="9" r:id="rId1"/>
  </sheets>
  <definedNames>
    <definedName name="_xlnm.Print_Area" localSheetId="0">'3. 调整因子'!$A$3:$E$92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<sst xmlns="http://schemas.openxmlformats.org/spreadsheetml/2006/main" count="113" uniqueCount="90">
  <si>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>调整因子列表</t>
  </si>
  <si>
    <t>因子类型</t>
  </si>
  <si>
    <t>因子名称</t>
  </si>
  <si>
    <t>因子计算结果</t>
  </si>
  <si>
    <t>规模计数时机</t>
  </si>
  <si>
    <t>估算中期</t>
  </si>
  <si>
    <t>应用类型</t>
  </si>
  <si>
    <t>业务处理</t>
  </si>
  <si>
    <t>质量特性-分质量特性-布式处理</t>
  </si>
  <si>
    <t>没有明示对分布式处理的需求事项</t>
  </si>
  <si>
    <t>质量特性-性能</t>
  </si>
  <si>
    <t>没有明示对性能的特别需求事项或活动，因此提供基本性能</t>
  </si>
  <si>
    <t>质量特性-可靠性</t>
  </si>
  <si>
    <t>没有明示对可靠性的特别需求事项或活动，因此提供基本的可靠性</t>
  </si>
  <si>
    <t>质量特性-多重站点</t>
  </si>
  <si>
    <t>在相同用途的硬件或软件环境下运行</t>
  </si>
  <si>
    <t>开发语言</t>
  </si>
  <si>
    <t>JAVA、C++、C#及其他同级别语言/平台</t>
  </si>
  <si>
    <t>开发团队背景</t>
  </si>
  <si>
    <t>为本行业（政府）开发过类似的软件</t>
  </si>
  <si>
    <t>描述</t>
  </si>
  <si>
    <t>调整因子</t>
  </si>
  <si>
    <t>办公自动化系统：人事、会计、工资、销售等经营管理及业务处理用软件等</t>
  </si>
  <si>
    <t>应用集成</t>
  </si>
  <si>
    <t>企业服务总线、应用集成等</t>
  </si>
  <si>
    <t>科技</t>
  </si>
  <si>
    <t>科学计算、仿真、基于复杂算法的统计分析等</t>
  </si>
  <si>
    <t>多媒体</t>
  </si>
  <si>
    <t>图形、影像、声音等多媒体应用领域：地理信息系统：教育和娱乐等</t>
  </si>
  <si>
    <t>智能信息</t>
  </si>
  <si>
    <t>自然语言处理、大模型、计算机视觉、智能决策、专家系统等</t>
  </si>
  <si>
    <t>基础软件/支撑软件</t>
  </si>
  <si>
    <t>操作系统、数据库系统、集成开发环境、自动化开发/设计工具等</t>
  </si>
  <si>
    <t>通信控制</t>
  </si>
  <si>
    <t>通信协议、仿真、交换机软件、全球定位系统等</t>
  </si>
  <si>
    <t>流程控制</t>
  </si>
  <si>
    <t>实时系统控制、机器人控制、嵌入式软件等</t>
  </si>
  <si>
    <t>判断标准</t>
  </si>
  <si>
    <t>分布式处理</t>
  </si>
  <si>
    <t>通过网络进行客户端/服务器及网络基础应用分布处理和传输</t>
  </si>
  <si>
    <t>在多个服务器及处理器上同时相互执行计算机系统中的处理功能</t>
  </si>
  <si>
    <t>性能</t>
  </si>
  <si>
    <t>应答时间或处理率对高峰时间或所有业务时间来说都很重要，对连动系统结束处理时间的限制</t>
  </si>
  <si>
    <t>为满足性能需求事项，要求设计阶段开始进行性能分析，或在设计、开发阶段使用分析工具</t>
  </si>
  <si>
    <t>可靠性</t>
  </si>
  <si>
    <t>发生故障时可轻易修复，带来一定不便或经济损失</t>
  </si>
  <si>
    <t>发生故障时很难复，发生重大经济损失或有生命危害</t>
  </si>
  <si>
    <t>多重站点</t>
  </si>
  <si>
    <t>在用途类似的硬件或软件环境下运行</t>
  </si>
  <si>
    <t>在不同用途的硬件或软件环境下运行</t>
  </si>
  <si>
    <t>规模变更调整因子(CF)</t>
  </si>
  <si>
    <t>估算早期</t>
  </si>
  <si>
    <t>概算、预算阶段</t>
  </si>
  <si>
    <t>投标、项目计划阶段</t>
  </si>
  <si>
    <t>估算晚期</t>
  </si>
  <si>
    <t>需求分析阶段</t>
  </si>
  <si>
    <t>项目完成</t>
  </si>
  <si>
    <t>项目交付后及运维阶段</t>
  </si>
  <si>
    <t>C及其他同级别语言/平台</t>
  </si>
  <si>
    <t>PowerBuilder、ASP及其他同级别语言/平台</t>
  </si>
  <si>
    <t>为其他行业开发过类似的软件，或为本行业（政府）开发过不同但相关的软件</t>
  </si>
  <si>
    <t>没有同类软件及本行业（政府）相关软件开发背景</t>
  </si>
  <si>
    <t>重用程度调整系数</t>
  </si>
  <si>
    <t>取值</t>
  </si>
  <si>
    <t>高</t>
  </si>
  <si>
    <t>该功能在系统中有一样的功能模块反复出现，代码复用程度高</t>
  </si>
  <si>
    <t>中</t>
  </si>
  <si>
    <t>该功能在系统中有一样的功能模块少量重复，代码复用程度中等</t>
  </si>
  <si>
    <t>低</t>
  </si>
  <si>
    <t>该功能在系统中没有其它功能模块能够利旧，代码复用程度低</t>
  </si>
  <si>
    <t>修改类型调整系数</t>
  </si>
  <si>
    <t>新增</t>
  </si>
  <si>
    <t>本期项目新增的功能模块</t>
  </si>
  <si>
    <t>最新软件评估行业颁布的基准数据</t>
  </si>
  <si>
    <t>修改</t>
  </si>
  <si>
    <t>修改往期项目的功能模块</t>
  </si>
  <si>
    <t>删除</t>
  </si>
  <si>
    <t>删除往期项目的功能模块</t>
  </si>
  <si>
    <t>软件开发计价模型</t>
  </si>
  <si>
    <t>ILF</t>
  </si>
  <si>
    <t>ILF为内部逻辑文件数量</t>
  </si>
  <si>
    <t>国标</t>
  </si>
  <si>
    <t>EIF</t>
  </si>
  <si>
    <t>EIF为外部接口文件数量</t>
  </si>
  <si>
    <t>EI</t>
  </si>
  <si>
    <t>EI为外部输入数量</t>
  </si>
  <si>
    <t>EO</t>
  </si>
  <si>
    <t>EO为外部输出数量</t>
  </si>
  <si>
    <t>EQ</t>
  </si>
  <si>
    <t>EQ为外部查询数量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</si>
</sst>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24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indexed="8"/>
      <name val="宋体"/>
      <charset val="134"/>
    </font>
    <font>
      <b/>
      <sz val="26"/>
      <color theme="1"/>
      <name val="宋体"/>
      <charset val="134"/>
      <scheme val="minor"/>
    </font>
    <font>
      <sz val="10"/>
      <color rgb="FF0070C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1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/>
    <xf numFmtId="0" fontId="27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78" fontId="1" fillId="3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justify" vertical="center" wrapText="1"/>
    </xf>
    <xf numFmtId="177" fontId="1" fillId="5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8" fontId="1" fillId="5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  <cellStyle name="0,0_x000d__x000a_NA_x0008__x0004_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I98"/>
  <sheetViews>
    <sheetView tabSelected="1" workbookViewId="0">
      <selection activeCell="C8" sqref="C8"/>
    </sheetView>
  </sheetViews>
  <sheetFormatPr defaultColWidth="9" defaultRowHeight="15.2"/>
  <cols>
    <col min="1" max="1" width="12.1730769230769" style="3" customWidth="1"/>
    <col min="2" max="2" width="20.8269230769231" style="3" customWidth="1"/>
    <col min="3" max="3" width="84.4519230769231" style="4" customWidth="1"/>
    <col min="4" max="4" width="19.8653846153846" style="2" customWidth="1"/>
    <col min="5" max="5" width="32.5576923076923" style="5" customWidth="1"/>
    <col min="6" max="6" width="6.45192307692308" style="4" customWidth="1"/>
    <col min="7" max="7" width="10.625" style="4" customWidth="1"/>
    <col min="8" max="16384" width="9" style="4"/>
  </cols>
  <sheetData>
    <row r="1" s="1" customFormat="1" ht="40" customHeight="1" spans="1:9">
      <c r="A1" s="6" t="s">
        <v>0</v>
      </c>
      <c r="B1" s="6"/>
      <c r="C1" s="6"/>
      <c r="D1" s="6"/>
      <c r="E1" s="32"/>
      <c r="F1" s="32"/>
      <c r="G1" s="32"/>
      <c r="H1" s="32"/>
      <c r="I1" s="32"/>
    </row>
    <row r="2" s="1" customFormat="1" spans="1:9">
      <c r="A2" s="7" t="s">
        <v>1</v>
      </c>
      <c r="B2" s="7"/>
      <c r="C2" s="8" t="s">
        <v>2</v>
      </c>
      <c r="D2" s="9" t="s">
        <v>3</v>
      </c>
      <c r="E2" s="4"/>
      <c r="F2" s="4"/>
      <c r="G2" s="4"/>
      <c r="H2" s="4"/>
      <c r="I2" s="4"/>
    </row>
    <row r="3" spans="1:5">
      <c r="A3" s="10" t="s">
        <v>4</v>
      </c>
      <c r="B3" s="10"/>
      <c r="C3" s="11" t="s">
        <v>5</v>
      </c>
      <c r="D3" s="12">
        <f>IF('3. 调整因子'!C3='3. 调整因子'!B37,'3. 调整因子'!D37,IF('3. 调整因子'!C3='3. 调整因子'!B38,'3. 调整因子'!D38,IF('3. 调整因子'!C3='3. 调整因子'!B39,'3. 调整因子'!D39,IF('3. 调整因子'!C3='3. 调整因子'!B40,'3. 调整因子'!D40,0))))</f>
        <v>1.21</v>
      </c>
      <c r="E3" s="4"/>
    </row>
    <row r="4" spans="1:5">
      <c r="A4" s="10" t="s">
        <v>6</v>
      </c>
      <c r="B4" s="10"/>
      <c r="C4" s="11" t="s">
        <v>7</v>
      </c>
      <c r="D4" s="13">
        <f>IF(C4=B13,D13,IF(C4=B14,D14,IF(C4=B15,D15,IF(C4=B16,D16,IF(C4=B17,D17,IF(C4=B18,D18,IF(C4=B19,D19,IF(C4=B20,D20,0))))))))</f>
        <v>1</v>
      </c>
      <c r="E4" s="4"/>
    </row>
    <row r="5" ht="16" spans="1:5">
      <c r="A5" s="14" t="s">
        <v>8</v>
      </c>
      <c r="B5" s="15"/>
      <c r="C5" s="16" t="s">
        <v>9</v>
      </c>
      <c r="D5" s="17">
        <f>IF(C5=C23,D23,IF(C5=C24,D24,IF(C5=C25,D25,-10)))</f>
        <v>-1</v>
      </c>
      <c r="E5" s="33"/>
    </row>
    <row r="6" ht="16" spans="1:5">
      <c r="A6" s="14" t="s">
        <v>10</v>
      </c>
      <c r="B6" s="15"/>
      <c r="C6" s="16" t="s">
        <v>11</v>
      </c>
      <c r="D6" s="17">
        <f>IF(C6=C26,D26,IF(C6=C27,D27,IF(C6=C28,D28,-10)))</f>
        <v>-1</v>
      </c>
      <c r="E6" s="33"/>
    </row>
    <row r="7" ht="16" spans="1:5">
      <c r="A7" s="14" t="s">
        <v>12</v>
      </c>
      <c r="B7" s="15"/>
      <c r="C7" s="16" t="s">
        <v>13</v>
      </c>
      <c r="D7" s="17">
        <f>IF(C7=C29,D29,IF(C7=C30,D30,IF(C7=C31,D31,-10)))</f>
        <v>-1</v>
      </c>
      <c r="E7" s="33"/>
    </row>
    <row r="8" ht="16" spans="1:5">
      <c r="A8" s="14" t="s">
        <v>14</v>
      </c>
      <c r="B8" s="15"/>
      <c r="C8" s="16" t="s">
        <v>15</v>
      </c>
      <c r="D8" s="17">
        <f>IF(C8=C32,D32,IF(C8=C33,D33,IF(C8=C34,D34,-10)))</f>
        <v>-1</v>
      </c>
      <c r="E8" s="33"/>
    </row>
    <row r="9" spans="1:5">
      <c r="A9" s="10" t="s">
        <v>16</v>
      </c>
      <c r="B9" s="10"/>
      <c r="C9" s="18" t="s">
        <v>17</v>
      </c>
      <c r="D9" s="13">
        <f>IF(C9=B44,D44,IF(C9=B45,D45,IF(C9=B46,D46,0)))</f>
        <v>1</v>
      </c>
      <c r="E9" s="4"/>
    </row>
    <row r="10" ht="16" spans="1:5">
      <c r="A10" s="10" t="s">
        <v>18</v>
      </c>
      <c r="B10" s="10"/>
      <c r="C10" s="16" t="s">
        <v>19</v>
      </c>
      <c r="D10" s="13">
        <f>IF(C10=B49,D49,IF(C10=B50,D50,IF(C10=B51,D51,0)))</f>
        <v>0.8</v>
      </c>
      <c r="E10" s="4"/>
    </row>
    <row r="11" spans="5:5">
      <c r="E11" s="4"/>
    </row>
    <row r="12" ht="16" spans="2:5">
      <c r="B12" s="19" t="s">
        <v>6</v>
      </c>
      <c r="C12" s="19" t="s">
        <v>20</v>
      </c>
      <c r="D12" s="19" t="s">
        <v>21</v>
      </c>
      <c r="E12" s="4"/>
    </row>
    <row r="13" ht="16" spans="2:5">
      <c r="B13" s="20" t="s">
        <v>7</v>
      </c>
      <c r="C13" s="21" t="s">
        <v>22</v>
      </c>
      <c r="D13" s="22">
        <v>1</v>
      </c>
      <c r="E13" s="4"/>
    </row>
    <row r="14" ht="16" spans="2:5">
      <c r="B14" s="20" t="s">
        <v>23</v>
      </c>
      <c r="C14" s="21" t="s">
        <v>24</v>
      </c>
      <c r="D14" s="22">
        <v>1.2</v>
      </c>
      <c r="E14" s="4"/>
    </row>
    <row r="15" ht="16" spans="2:5">
      <c r="B15" s="20" t="s">
        <v>25</v>
      </c>
      <c r="C15" s="21" t="s">
        <v>26</v>
      </c>
      <c r="D15" s="22">
        <v>1.2</v>
      </c>
      <c r="E15" s="4"/>
    </row>
    <row r="16" ht="16" spans="2:5">
      <c r="B16" s="20" t="s">
        <v>27</v>
      </c>
      <c r="C16" s="21" t="s">
        <v>28</v>
      </c>
      <c r="D16" s="22">
        <v>1.5</v>
      </c>
      <c r="E16" s="4"/>
    </row>
    <row r="17" ht="16" spans="2:5">
      <c r="B17" s="20" t="s">
        <v>29</v>
      </c>
      <c r="C17" s="21" t="s">
        <v>30</v>
      </c>
      <c r="D17" s="22">
        <v>1.7</v>
      </c>
      <c r="E17" s="4"/>
    </row>
    <row r="18" ht="31" spans="2:5">
      <c r="B18" s="20" t="s">
        <v>31</v>
      </c>
      <c r="C18" s="21" t="s">
        <v>32</v>
      </c>
      <c r="D18" s="22">
        <v>1.7</v>
      </c>
      <c r="E18" s="4"/>
    </row>
    <row r="19" ht="16" spans="2:5">
      <c r="B19" s="20" t="s">
        <v>33</v>
      </c>
      <c r="C19" s="21" t="s">
        <v>34</v>
      </c>
      <c r="D19" s="22">
        <v>1.9</v>
      </c>
      <c r="E19" s="4"/>
    </row>
    <row r="20" ht="16" spans="2:5">
      <c r="B20" s="20" t="s">
        <v>35</v>
      </c>
      <c r="C20" s="21" t="s">
        <v>36</v>
      </c>
      <c r="D20" s="22">
        <v>2</v>
      </c>
      <c r="E20" s="4"/>
    </row>
    <row r="21" spans="5:5">
      <c r="E21" s="4"/>
    </row>
    <row r="22" ht="16" spans="2:5">
      <c r="B22" s="19" t="s">
        <v>21</v>
      </c>
      <c r="C22" s="19" t="s">
        <v>37</v>
      </c>
      <c r="D22" s="19" t="s">
        <v>21</v>
      </c>
      <c r="E22" s="4"/>
    </row>
    <row r="23" ht="16" spans="2:5">
      <c r="B23" s="20" t="s">
        <v>38</v>
      </c>
      <c r="C23" s="21" t="s">
        <v>9</v>
      </c>
      <c r="D23" s="20">
        <v>-1</v>
      </c>
      <c r="E23" s="4"/>
    </row>
    <row r="24" ht="16" spans="2:5">
      <c r="B24" s="20"/>
      <c r="C24" s="21" t="s">
        <v>39</v>
      </c>
      <c r="D24" s="20">
        <v>0</v>
      </c>
      <c r="E24" s="4"/>
    </row>
    <row r="25" ht="16" spans="2:5">
      <c r="B25" s="20"/>
      <c r="C25" s="21" t="s">
        <v>40</v>
      </c>
      <c r="D25" s="20">
        <v>1</v>
      </c>
      <c r="E25" s="4"/>
    </row>
    <row r="26" ht="16" spans="2:5">
      <c r="B26" s="20" t="s">
        <v>41</v>
      </c>
      <c r="C26" s="21" t="s">
        <v>11</v>
      </c>
      <c r="D26" s="20">
        <v>-1</v>
      </c>
      <c r="E26" s="4"/>
    </row>
    <row r="27" ht="16" spans="2:5">
      <c r="B27" s="20"/>
      <c r="C27" s="21" t="s">
        <v>42</v>
      </c>
      <c r="D27" s="20">
        <v>0</v>
      </c>
      <c r="E27" s="4"/>
    </row>
    <row r="28" ht="16" spans="2:5">
      <c r="B28" s="20"/>
      <c r="C28" s="21" t="s">
        <v>43</v>
      </c>
      <c r="D28" s="20">
        <v>1</v>
      </c>
      <c r="E28" s="4"/>
    </row>
    <row r="29" ht="16" spans="2:5">
      <c r="B29" s="20" t="s">
        <v>44</v>
      </c>
      <c r="C29" s="21" t="s">
        <v>13</v>
      </c>
      <c r="D29" s="20">
        <v>-1</v>
      </c>
      <c r="E29" s="4"/>
    </row>
    <row r="30" ht="16" spans="2:5">
      <c r="B30" s="20"/>
      <c r="C30" s="21" t="s">
        <v>45</v>
      </c>
      <c r="D30" s="20">
        <v>0</v>
      </c>
      <c r="E30" s="4"/>
    </row>
    <row r="31" ht="16" spans="2:5">
      <c r="B31" s="20"/>
      <c r="C31" s="21" t="s">
        <v>46</v>
      </c>
      <c r="D31" s="20">
        <v>1</v>
      </c>
      <c r="E31" s="4"/>
    </row>
    <row r="32" ht="16" spans="2:5">
      <c r="B32" s="20" t="s">
        <v>47</v>
      </c>
      <c r="C32" s="21" t="s">
        <v>15</v>
      </c>
      <c r="D32" s="20">
        <v>-1</v>
      </c>
      <c r="E32" s="4"/>
    </row>
    <row r="33" ht="16" spans="2:5">
      <c r="B33" s="20"/>
      <c r="C33" s="21" t="s">
        <v>48</v>
      </c>
      <c r="D33" s="20">
        <v>0</v>
      </c>
      <c r="E33" s="4"/>
    </row>
    <row r="34" ht="16" spans="2:5">
      <c r="B34" s="20"/>
      <c r="C34" s="21" t="s">
        <v>49</v>
      </c>
      <c r="D34" s="20">
        <v>1</v>
      </c>
      <c r="E34" s="4"/>
    </row>
    <row r="35" spans="5:5">
      <c r="E35" s="4"/>
    </row>
    <row r="36" spans="2:5">
      <c r="B36" s="23" t="s">
        <v>50</v>
      </c>
      <c r="C36" s="23"/>
      <c r="D36" s="23"/>
      <c r="E36" s="4"/>
    </row>
    <row r="37" spans="2:5">
      <c r="B37" s="24" t="s">
        <v>51</v>
      </c>
      <c r="C37" s="25" t="s">
        <v>52</v>
      </c>
      <c r="D37" s="26">
        <v>1.39</v>
      </c>
      <c r="E37" s="4"/>
    </row>
    <row r="38" spans="2:5">
      <c r="B38" s="24" t="s">
        <v>5</v>
      </c>
      <c r="C38" s="25" t="s">
        <v>53</v>
      </c>
      <c r="D38" s="26">
        <v>1.21</v>
      </c>
      <c r="E38" s="4"/>
    </row>
    <row r="39" spans="2:5">
      <c r="B39" s="24" t="s">
        <v>54</v>
      </c>
      <c r="C39" s="25" t="s">
        <v>55</v>
      </c>
      <c r="D39" s="26">
        <v>1.1</v>
      </c>
      <c r="E39" s="4"/>
    </row>
    <row r="40" spans="2:5">
      <c r="B40" s="24" t="s">
        <v>56</v>
      </c>
      <c r="C40" s="25" t="s">
        <v>57</v>
      </c>
      <c r="D40" s="26">
        <v>1</v>
      </c>
      <c r="E40" s="4"/>
    </row>
    <row r="41" spans="2:5">
      <c r="B41" s="27"/>
      <c r="C41" s="27"/>
      <c r="D41" s="28"/>
      <c r="E41" s="4"/>
    </row>
    <row r="42" spans="5:5">
      <c r="E42" s="4"/>
    </row>
    <row r="43" ht="16" spans="2:5">
      <c r="B43" s="7" t="s">
        <v>16</v>
      </c>
      <c r="C43" s="7"/>
      <c r="D43" s="7" t="s">
        <v>21</v>
      </c>
      <c r="E43" s="4"/>
    </row>
    <row r="44" spans="2:5">
      <c r="B44" s="20" t="s">
        <v>58</v>
      </c>
      <c r="C44" s="20"/>
      <c r="D44" s="22">
        <v>1.2</v>
      </c>
      <c r="E44" s="4"/>
    </row>
    <row r="45" spans="2:5">
      <c r="B45" s="20" t="s">
        <v>17</v>
      </c>
      <c r="C45" s="20"/>
      <c r="D45" s="22">
        <v>1</v>
      </c>
      <c r="E45" s="4"/>
    </row>
    <row r="46" spans="2:5">
      <c r="B46" s="20" t="s">
        <v>59</v>
      </c>
      <c r="C46" s="20"/>
      <c r="D46" s="22">
        <v>0.8</v>
      </c>
      <c r="E46" s="4"/>
    </row>
    <row r="47" spans="4:5">
      <c r="D47" s="4"/>
      <c r="E47" s="4"/>
    </row>
    <row r="48" ht="16" spans="2:5">
      <c r="B48" s="19" t="s">
        <v>18</v>
      </c>
      <c r="C48" s="19"/>
      <c r="D48" s="19" t="s">
        <v>21</v>
      </c>
      <c r="E48" s="4"/>
    </row>
    <row r="49" spans="2:5">
      <c r="B49" s="20" t="s">
        <v>19</v>
      </c>
      <c r="C49" s="20"/>
      <c r="D49" s="22">
        <v>0.8</v>
      </c>
      <c r="E49" s="4"/>
    </row>
    <row r="50" spans="2:5">
      <c r="B50" s="20" t="s">
        <v>60</v>
      </c>
      <c r="C50" s="20"/>
      <c r="D50" s="22">
        <v>1</v>
      </c>
      <c r="E50" s="4"/>
    </row>
    <row r="51" spans="2:5">
      <c r="B51" s="20" t="s">
        <v>61</v>
      </c>
      <c r="C51" s="20"/>
      <c r="D51" s="22">
        <v>1.2</v>
      </c>
      <c r="E51" s="4"/>
    </row>
    <row r="52" spans="5:5">
      <c r="E52" s="4"/>
    </row>
    <row r="53" ht="16" spans="2:5">
      <c r="B53" s="29" t="s">
        <v>62</v>
      </c>
      <c r="C53" s="29"/>
      <c r="D53" s="29" t="s">
        <v>63</v>
      </c>
      <c r="E53" s="4"/>
    </row>
    <row r="54" spans="2:5">
      <c r="B54" s="24" t="s">
        <v>64</v>
      </c>
      <c r="C54" s="24" t="s">
        <v>65</v>
      </c>
      <c r="D54" s="26">
        <f>1/3</f>
        <v>0.333333333333333</v>
      </c>
      <c r="E54" s="4"/>
    </row>
    <row r="55" spans="2:5">
      <c r="B55" s="24" t="s">
        <v>66</v>
      </c>
      <c r="C55" s="24" t="s">
        <v>67</v>
      </c>
      <c r="D55" s="26">
        <f>2/3</f>
        <v>0.666666666666667</v>
      </c>
      <c r="E55" s="4"/>
    </row>
    <row r="56" spans="2:5">
      <c r="B56" s="24" t="s">
        <v>68</v>
      </c>
      <c r="C56" s="24" t="s">
        <v>69</v>
      </c>
      <c r="D56" s="26">
        <f>1/1</f>
        <v>1</v>
      </c>
      <c r="E56" s="4"/>
    </row>
    <row r="57" spans="4:5">
      <c r="D57" s="4"/>
      <c r="E57" s="4"/>
    </row>
    <row r="58" ht="16" spans="2:5">
      <c r="B58" s="29" t="s">
        <v>70</v>
      </c>
      <c r="C58" s="29"/>
      <c r="D58" s="29" t="s">
        <v>63</v>
      </c>
      <c r="E58" s="4"/>
    </row>
    <row r="59" spans="2:5">
      <c r="B59" s="24" t="s">
        <v>71</v>
      </c>
      <c r="C59" s="24" t="s">
        <v>72</v>
      </c>
      <c r="D59" s="26">
        <f>1/1</f>
        <v>1</v>
      </c>
      <c r="E59" s="34" t="s">
        <v>73</v>
      </c>
    </row>
    <row r="60" spans="2:5">
      <c r="B60" s="24" t="s">
        <v>74</v>
      </c>
      <c r="C60" s="24" t="s">
        <v>75</v>
      </c>
      <c r="D60" s="26">
        <v>0.8</v>
      </c>
      <c r="E60" s="34" t="s">
        <v>73</v>
      </c>
    </row>
    <row r="61" spans="2:5">
      <c r="B61" s="24" t="s">
        <v>76</v>
      </c>
      <c r="C61" s="24" t="s">
        <v>77</v>
      </c>
      <c r="D61" s="26">
        <v>0.2</v>
      </c>
      <c r="E61" s="34" t="s">
        <v>73</v>
      </c>
    </row>
    <row r="62" spans="4:5">
      <c r="D62" s="4"/>
      <c r="E62" s="4"/>
    </row>
    <row r="63" ht="16" spans="2:5">
      <c r="B63" s="29" t="s">
        <v>78</v>
      </c>
      <c r="C63" s="29"/>
      <c r="D63" s="29" t="s">
        <v>63</v>
      </c>
      <c r="E63" s="4"/>
    </row>
    <row r="64" s="2" customFormat="1" spans="1:5">
      <c r="A64" s="30"/>
      <c r="B64" s="24" t="s">
        <v>79</v>
      </c>
      <c r="C64" s="24" t="s">
        <v>80</v>
      </c>
      <c r="D64" s="31">
        <v>7</v>
      </c>
      <c r="E64" s="34" t="s">
        <v>81</v>
      </c>
    </row>
    <row r="65" s="2" customFormat="1" spans="1:5">
      <c r="A65" s="30"/>
      <c r="B65" s="24" t="s">
        <v>82</v>
      </c>
      <c r="C65" s="24" t="s">
        <v>83</v>
      </c>
      <c r="D65" s="31">
        <v>5</v>
      </c>
      <c r="E65" s="34" t="s">
        <v>81</v>
      </c>
    </row>
    <row r="66" s="2" customFormat="1" spans="1:5">
      <c r="A66" s="30"/>
      <c r="B66" s="24" t="s">
        <v>84</v>
      </c>
      <c r="C66" s="24" t="s">
        <v>85</v>
      </c>
      <c r="D66" s="31">
        <v>4</v>
      </c>
      <c r="E66" s="34" t="s">
        <v>81</v>
      </c>
    </row>
    <row r="67" s="2" customFormat="1" spans="1:5">
      <c r="A67" s="30"/>
      <c r="B67" s="24" t="s">
        <v>86</v>
      </c>
      <c r="C67" s="24" t="s">
        <v>87</v>
      </c>
      <c r="D67" s="31">
        <v>5</v>
      </c>
      <c r="E67" s="34" t="s">
        <v>81</v>
      </c>
    </row>
    <row r="68" s="2" customFormat="1" spans="1:5">
      <c r="A68" s="30"/>
      <c r="B68" s="24" t="s">
        <v>88</v>
      </c>
      <c r="C68" s="24" t="s">
        <v>89</v>
      </c>
      <c r="D68" s="31">
        <v>4</v>
      </c>
      <c r="E68" s="34" t="s">
        <v>81</v>
      </c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</sheetData>
  <mergeCells count="26">
    <mergeCell ref="A1:D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B36:D36"/>
    <mergeCell ref="B43:C43"/>
    <mergeCell ref="B44:C44"/>
    <mergeCell ref="B45:C45"/>
    <mergeCell ref="B46:C46"/>
    <mergeCell ref="B48:C48"/>
    <mergeCell ref="B49:C49"/>
    <mergeCell ref="B50:C50"/>
    <mergeCell ref="B51:C51"/>
    <mergeCell ref="B53:C53"/>
    <mergeCell ref="B58:C58"/>
    <mergeCell ref="B63:C63"/>
    <mergeCell ref="B23:B25"/>
    <mergeCell ref="B26:B28"/>
    <mergeCell ref="B29:B31"/>
    <mergeCell ref="B32:B34"/>
  </mergeCells>
  <dataValidations count="9">
    <dataValidation type="list" allowBlank="1" showInputMessage="1" showErrorMessage="1" sqref="C3">
      <formula1>$B$37:$B$40</formula1>
    </dataValidation>
    <dataValidation type="list" allowBlank="1" showInputMessage="1" showErrorMessage="1" sqref="C4">
      <formula1>$B$13:$B$20</formula1>
    </dataValidation>
    <dataValidation type="list" allowBlank="1" showInputMessage="1" showErrorMessage="1" sqref="C5">
      <formula1>$C$23:$C$25</formula1>
    </dataValidation>
    <dataValidation type="list" allowBlank="1" showInputMessage="1" showErrorMessage="1" sqref="C6">
      <formula1>$C$26:$C$28</formula1>
    </dataValidation>
    <dataValidation type="list" allowBlank="1" showInputMessage="1" showErrorMessage="1" sqref="C7 C11 C35 B41 C42 C47 C52 C57 C62">
      <formula1>$C$29:$C$31</formula1>
    </dataValidation>
    <dataValidation type="list" allowBlank="1" showInputMessage="1" showErrorMessage="1" sqref="C8">
      <formula1>$C$32:$C$34</formula1>
    </dataValidation>
    <dataValidation type="list" allowBlank="1" showInputMessage="1" showErrorMessage="1" sqref="C9">
      <formula1>$B$44:$B$46</formula1>
    </dataValidation>
    <dataValidation type="list" allowBlank="1" showInputMessage="1" showErrorMessage="1" sqref="C10">
      <formula1>$B$49:$B$51</formula1>
    </dataValidation>
    <dataValidation type="list" allowBlank="1" showInputMessage="1" showErrorMessage="1" sqref="B44:C44">
      <formula1>$B$44</formula1>
    </dataValidation>
  </dataValidation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中国系统与软件度量用户组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 调整因子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国税总局估算工具</dc:title>
  <dc:subject>工作量评估</dc:subject>
  <dc:creator>王海青</dc:creator>
  <cp:lastModifiedBy>Eden子cium</cp:lastModifiedBy>
  <dcterms:created xsi:type="dcterms:W3CDTF">2025-10-15T18:44:00Z</dcterms:created>
  <cp:lastPrinted>2019-06-15T01:05:00Z</cp:lastPrinted>
  <dcterms:modified xsi:type="dcterms:W3CDTF">2026-03-13T13:49:26Z</dcterms:modified>
  <cp:category>计算器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6386BE59689212C4EFC4B069C27CE1CA_43</vt:lpwstr>
  </property>
  <property fmtid="{D5CDD505-2E9C-101B-9397-08002B2CF9AE}" pid="3" name="KSOProductBuildVer">
    <vt:lpwstr>2052-12.1.21861.21861</vt:lpwstr>
  </property>
  <property fmtid="{D5CDD505-2E9C-101B-9397-08002B2CF9AE}" pid="4" name="KSOReadingLayout">
    <vt:bool>true</vt:bool>
  </property>
</Properties>
</file>