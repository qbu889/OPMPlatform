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2" windowHeight="9555" activeTab="1"/>
  </bookViews>
  <sheets>
    <sheet name="1. 填写说明" sheetId="5" r:id="rId1"/>
    <sheet name="2. 规模估算" sheetId="2" r:id="rId2"/>
    <sheet name="3. 调整因子" sheetId="9" r:id="rId3"/>
    <sheet name="4. 评估结果" sheetId="1" r:id="rId4"/>
  </sheets>
  <definedNames>
    <definedName name="_xlnm._FilterDatabase" localSheetId="1" hidden="1">'2. 规模估算'!$A$7:$L$84</definedName>
    <definedName name="_Toc260843610" localSheetId="1">'2. 规模估算'!#REF!</definedName>
    <definedName name="_Toc260843625" localSheetId="1">'2. 规模估算'!#REF!</definedName>
    <definedName name="_Toc392765432" localSheetId="1">'2. 规模估算'!#REF!</definedName>
    <definedName name="_Toc397109581" localSheetId="1">'2. 规模估算'!#REF!</definedName>
    <definedName name="_Toc397109586" localSheetId="1">'2. 规模估算'!#REF!</definedName>
    <definedName name="_Toc397109606" localSheetId="1">'2. 规模估算'!#REF!</definedName>
    <definedName name="_Toc397109619" localSheetId="1">'2. 规模估算'!#REF!</definedName>
    <definedName name="_Toc397109632" localSheetId="1">'2. 规模估算'!#REF!</definedName>
    <definedName name="_xlnm.Print_Area" localSheetId="2">'3. 调整因子'!$A$2:$E$91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Henry</author>
  </authors>
  <commentList>
    <comment ref="D7" authorId="0">
      <text>
        <r>
          <rPr>
            <b/>
            <sz val="9"/>
            <rFont val="宋体"/>
            <charset val="134"/>
          </rPr>
          <t>根据最新基准数据更新，一般采用上一年度发布数据（一般年底发布）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<sst xmlns="http://schemas.openxmlformats.org/spreadsheetml/2006/main" count="778" uniqueCount="218">
  <si>
    <r>
      <rPr>
        <b/>
        <sz val="12"/>
        <color rgb="FFFF0000"/>
        <rFont val="宋体"/>
        <charset val="134"/>
        <scheme val="minor"/>
      </rPr>
      <t>模型填写顺序为：</t>
    </r>
    <r>
      <rPr>
        <sz val="12"/>
        <rFont val="宋体"/>
        <charset val="134"/>
        <scheme val="minor"/>
      </rPr>
      <t xml:space="preserve">
1、拆分功能点，填写《2.规模估算》。
2、调整因子参考《3.调整因子》进行取值。
3、自动计算评估结果，查看《4.评估结果》。</t>
    </r>
  </si>
  <si>
    <t>白色单元格</t>
  </si>
  <si>
    <t>计价评估时，只填写白色单元格</t>
  </si>
  <si>
    <t>深灰单元格</t>
  </si>
  <si>
    <t>模板格式部分，不得修改</t>
  </si>
  <si>
    <t>浅灰单元格</t>
  </si>
  <si>
    <t>模板参数部分，默认为国际标准推荐取值，各省可按直接使用，也可以按照实际情况适当调参，但修改必须经过省公司决策通过，并向总部报备</t>
  </si>
  <si>
    <t>绿色单元格</t>
  </si>
  <si>
    <t>自动计算或引用数据，不得修改</t>
  </si>
  <si>
    <t>1.规模估算表</t>
  </si>
  <si>
    <t>规模估算方法</t>
  </si>
  <si>
    <t>软件开发计价模型</t>
  </si>
  <si>
    <t>“软件开发计价模型”：7/5/4/5/4</t>
  </si>
  <si>
    <t>未调整功能点合计</t>
  </si>
  <si>
    <t>UFP,单位：FP</t>
  </si>
  <si>
    <t>调整后功能点合计</t>
  </si>
  <si>
    <t>AFP,单位：FP</t>
  </si>
  <si>
    <t>1. 本次计数在项目前期，需求未充分挖掘
2. 绿色单元格为被保护，不得擅自修改</t>
  </si>
  <si>
    <t>编号</t>
  </si>
  <si>
    <t>一级分类</t>
  </si>
  <si>
    <t>二级分类</t>
  </si>
  <si>
    <t>三级分类</t>
  </si>
  <si>
    <t>功能点名称</t>
  </si>
  <si>
    <t>功能点计数项</t>
  </si>
  <si>
    <t>类别</t>
  </si>
  <si>
    <t>UFP</t>
  </si>
  <si>
    <t>重用程度</t>
  </si>
  <si>
    <t>修改类型</t>
  </si>
  <si>
    <t>AFP</t>
  </si>
  <si>
    <t>备注</t>
  </si>
  <si>
    <t>填写
说明</t>
  </si>
  <si>
    <t>必填</t>
  </si>
  <si>
    <r>
      <rPr>
        <b/>
        <sz val="8"/>
        <color rgb="FFFF0000"/>
        <rFont val="宋体"/>
        <charset val="134"/>
        <scheme val="minor"/>
      </rPr>
      <t>请选择</t>
    </r>
    <r>
      <rPr>
        <sz val="8"/>
        <color theme="1"/>
        <rFont val="宋体"/>
        <charset val="134"/>
        <scheme val="minor"/>
      </rPr>
      <t>计价模型种类。</t>
    </r>
  </si>
  <si>
    <r>
      <rPr>
        <b/>
        <sz val="8"/>
        <color rgb="FFFF0000"/>
        <rFont val="宋体"/>
        <charset val="134"/>
        <scheme val="minor"/>
      </rPr>
      <t>自动计算</t>
    </r>
    <r>
      <rPr>
        <sz val="8"/>
        <color theme="1"/>
        <rFont val="宋体"/>
        <charset val="134"/>
        <scheme val="minor"/>
      </rPr>
      <t>未调整的功能点数量。</t>
    </r>
  </si>
  <si>
    <r>
      <rPr>
        <b/>
        <sz val="8"/>
        <color rgb="FFFF0000"/>
        <rFont val="宋体"/>
        <charset val="134"/>
        <scheme val="minor"/>
      </rPr>
      <t>请选择</t>
    </r>
    <r>
      <rPr>
        <sz val="8"/>
        <color theme="1"/>
        <rFont val="宋体"/>
        <charset val="134"/>
        <scheme val="minor"/>
      </rPr>
      <t>代码复用情况</t>
    </r>
  </si>
  <si>
    <r>
      <rPr>
        <b/>
        <sz val="8"/>
        <color rgb="FFFF0000"/>
        <rFont val="宋体"/>
        <charset val="134"/>
        <scheme val="minor"/>
      </rPr>
      <t>请选择</t>
    </r>
    <r>
      <rPr>
        <sz val="8"/>
        <color theme="1"/>
        <rFont val="宋体"/>
        <charset val="134"/>
        <scheme val="minor"/>
      </rPr>
      <t>代码修改情况</t>
    </r>
  </si>
  <si>
    <r>
      <rPr>
        <b/>
        <sz val="8"/>
        <color rgb="FFFF0000"/>
        <rFont val="宋体"/>
        <charset val="134"/>
        <scheme val="minor"/>
      </rPr>
      <t>自动计算</t>
    </r>
    <r>
      <rPr>
        <sz val="8"/>
        <color theme="1"/>
        <rFont val="宋体"/>
        <charset val="134"/>
        <scheme val="minor"/>
      </rPr>
      <t>调整后的功能点数量。</t>
    </r>
  </si>
  <si>
    <t>调整AFP：请通过重用程度、修改类型来改</t>
  </si>
  <si>
    <t>监控管理应用</t>
  </si>
  <si>
    <t>事件工单管理</t>
  </si>
  <si>
    <t>事件处理类工单流程</t>
  </si>
  <si>
    <t>工单管控时段剔除列表查询</t>
  </si>
  <si>
    <t>EQ</t>
  </si>
  <si>
    <t>高</t>
  </si>
  <si>
    <t>新增</t>
  </si>
  <si>
    <t>工单管处理时限专业搜索</t>
  </si>
  <si>
    <t>工单管控时段规则权限配置</t>
  </si>
  <si>
    <t>EO</t>
  </si>
  <si>
    <t>工单管控时段规则配置</t>
  </si>
  <si>
    <t>中</t>
  </si>
  <si>
    <t>工单管控时段规则权限配置表</t>
  </si>
  <si>
    <t>ILF</t>
  </si>
  <si>
    <t>工单管控时段规则配置表</t>
  </si>
  <si>
    <t>规则字段映射处理</t>
  </si>
  <si>
    <t>EI</t>
  </si>
  <si>
    <t>条件操作符逻辑处理</t>
  </si>
  <si>
    <t>条件操作符逻辑详单表</t>
  </si>
  <si>
    <t>多组规则条件添加</t>
  </si>
  <si>
    <t>多组规则条件逻辑运算</t>
  </si>
  <si>
    <t>多组规则条件表</t>
  </si>
  <si>
    <t>T1移交T2工单处理时限处理</t>
  </si>
  <si>
    <t>同级别移交工单处理时限处理</t>
  </si>
  <si>
    <t>T2移交T3工单处理时限处理</t>
  </si>
  <si>
    <t>剔除规则匹配</t>
  </si>
  <si>
    <t>多规则随机匹配处理</t>
  </si>
  <si>
    <t>基于剔除时间段的工单时限计算</t>
  </si>
  <si>
    <t>跨时间段的工单剔除时限计算</t>
  </si>
  <si>
    <t>时间配置界面弹窗控制</t>
  </si>
  <si>
    <t>事件处理类工单表</t>
  </si>
  <si>
    <t>修改</t>
  </si>
  <si>
    <t>工单管控时段规则基本信息配置表</t>
  </si>
  <si>
    <t>工单管剔除规则条件表</t>
  </si>
  <si>
    <t>全局声音开关控制</t>
  </si>
  <si>
    <t>刷新频率自定义配置</t>
  </si>
  <si>
    <t>时间段生效规则配置</t>
  </si>
  <si>
    <t>生效时间段配置表</t>
  </si>
  <si>
    <t>场景配置处理</t>
  </si>
  <si>
    <t>未受理工单提示配置</t>
  </si>
  <si>
    <t>即将超时工单提示配置</t>
  </si>
  <si>
    <t>已超时工单提示配置</t>
  </si>
  <si>
    <t>不同状态工单语音提醒生成</t>
  </si>
  <si>
    <t>工单语音提醒详单表</t>
  </si>
  <si>
    <t>场景处置配置表</t>
  </si>
  <si>
    <t>多场景语音播报调度</t>
  </si>
  <si>
    <t>多场景语音调度表</t>
  </si>
  <si>
    <t>声音场景触发条件独立检测</t>
  </si>
  <si>
    <t>语音内容模板渲染</t>
  </si>
  <si>
    <t>列表自动刷新任务调度</t>
  </si>
  <si>
    <t>生效时段状态监听器</t>
  </si>
  <si>
    <t>生效时段监听表</t>
  </si>
  <si>
    <t>实时条件检测与语音触发</t>
  </si>
  <si>
    <t>个人语音配置</t>
  </si>
  <si>
    <t>个人语音配置表</t>
  </si>
  <si>
    <t>声音提示配置待办列表</t>
  </si>
  <si>
    <t>多端配置同步冲突解决</t>
  </si>
  <si>
    <t>多终端配置同步</t>
  </si>
  <si>
    <t>多流程配置表</t>
  </si>
  <si>
    <t>事件信息全显示与换行支持</t>
  </si>
  <si>
    <t>子单强清时间显示</t>
  </si>
  <si>
    <t>基础事件详情下钻</t>
  </si>
  <si>
    <t>集团专线特殊信息追加</t>
  </si>
  <si>
    <t>无线网特殊信息追加</t>
  </si>
  <si>
    <t>合并工单操作信息追加</t>
  </si>
  <si>
    <t>追加工单途径信息追加</t>
  </si>
  <si>
    <t>事件时间信息追加</t>
  </si>
  <si>
    <t>根因信息追加</t>
  </si>
  <si>
    <t>触发信息追加</t>
  </si>
  <si>
    <t>业务等级信息追加</t>
  </si>
  <si>
    <t>客户信息关联</t>
  </si>
  <si>
    <t>网络层级信息</t>
  </si>
  <si>
    <t>关联子单表</t>
  </si>
  <si>
    <t>回单模板修改</t>
  </si>
  <si>
    <t>回单页面未联系客户原因改造</t>
  </si>
  <si>
    <t>故障原因分类筛选功能</t>
  </si>
  <si>
    <t>细分原因筛选功能</t>
  </si>
  <si>
    <t>规则配置数据导入功能</t>
  </si>
  <si>
    <t>导入数据验证功能</t>
  </si>
  <si>
    <t>规则配置数据导出功能</t>
  </si>
  <si>
    <t>剔除时间段冲突检测</t>
  </si>
  <si>
    <t>跨天剔除时长累计</t>
  </si>
  <si>
    <t>根因与触发信息关联查询</t>
  </si>
  <si>
    <t>工单专业类型识别</t>
  </si>
  <si>
    <t>规则状态变更历史记录表</t>
  </si>
  <si>
    <t>事件工单回单模板表</t>
  </si>
  <si>
    <t>合计</t>
  </si>
  <si>
    <t>2.调整因子列表</t>
  </si>
  <si>
    <t>规模计数时机</t>
  </si>
  <si>
    <t>估算中期</t>
  </si>
  <si>
    <t>应用类型</t>
  </si>
  <si>
    <t>业务处理</t>
  </si>
  <si>
    <t>质量特性</t>
  </si>
  <si>
    <t>分布式处理</t>
  </si>
  <si>
    <t>没有明示对分布式处理的需求事项</t>
  </si>
  <si>
    <t>性能</t>
  </si>
  <si>
    <t>没有明示对性能的特别需求事项或活动，因此提供基本性能</t>
  </si>
  <si>
    <t>可靠性</t>
  </si>
  <si>
    <t>没有明示对可靠性的特别需求事项或活动，因此提供基本的可靠性</t>
  </si>
  <si>
    <t>多重站点</t>
  </si>
  <si>
    <t>在相同用途的硬件或软件环境下运行</t>
  </si>
  <si>
    <t>开发语言</t>
  </si>
  <si>
    <t>JAVA、C++、C#及其他同级别语言/平台</t>
  </si>
  <si>
    <t>开发团队背景</t>
  </si>
  <si>
    <t>为本行业（政府）开发过类似的软件</t>
  </si>
  <si>
    <t>描述</t>
  </si>
  <si>
    <t>调整因子</t>
  </si>
  <si>
    <t>办公自动化系统：人事、会计、工资、销售等经营管理及业务处理用软件等</t>
  </si>
  <si>
    <t>应用集成</t>
  </si>
  <si>
    <t>企业服务总线、应用集成等</t>
  </si>
  <si>
    <t>科技</t>
  </si>
  <si>
    <t>科学计算、仿真、基于复杂算法的统计分析等</t>
  </si>
  <si>
    <t>多媒体</t>
  </si>
  <si>
    <t>图形、影像、声音等多媒体应用领域：地理信息系统：教育和娱乐等</t>
  </si>
  <si>
    <t>智能信息</t>
  </si>
  <si>
    <t>自然语言处理、大模型、计算机视觉、智能决策、专家系统等</t>
  </si>
  <si>
    <t>基础软件/支撑软件</t>
  </si>
  <si>
    <t>操作系统、数据库系统、集成开发环境、自动化开发/设计工具等</t>
  </si>
  <si>
    <t>通信控制</t>
  </si>
  <si>
    <t>通信协议、仿真、交换机软件、全球定位系统等</t>
  </si>
  <si>
    <t>流程控制</t>
  </si>
  <si>
    <t>实时系统控制、机器人控制、嵌入式软件等</t>
  </si>
  <si>
    <t>判断标准</t>
  </si>
  <si>
    <t>通过网络进行客户端/服务器及网络基础应用分布处理和传输</t>
  </si>
  <si>
    <t>在多个服务器及处理器上同时相互执行计算机系统中的处理功能</t>
  </si>
  <si>
    <t>应答时间或处理率对高峰时间或所有业务时间来说都很重要，对连动系统结束处理时间的限制</t>
  </si>
  <si>
    <t>为满足性能需求事项，要求设计阶段开始进行性能分析，或在设计、开发阶段使用分析工具</t>
  </si>
  <si>
    <t>发生故障时可轻易修复，带来一定不便或经济损失</t>
  </si>
  <si>
    <t>发生故障时很难复，发生重大经济损失或有生命危害</t>
  </si>
  <si>
    <t>在用途类似的硬件或软件环境下运行</t>
  </si>
  <si>
    <t>在不同用途的硬件或软件环境下运行</t>
  </si>
  <si>
    <t>规模变更调整因子(CF)</t>
  </si>
  <si>
    <t>估算早期</t>
  </si>
  <si>
    <t>概算、预算阶段</t>
  </si>
  <si>
    <t>投标、项目计划阶段</t>
  </si>
  <si>
    <t>估算晚期</t>
  </si>
  <si>
    <t>需求分析阶段</t>
  </si>
  <si>
    <t>项目完成</t>
  </si>
  <si>
    <t>项目交付后及运维阶段</t>
  </si>
  <si>
    <t>C及其他同级别语言/平台</t>
  </si>
  <si>
    <t>PowerBuilder、ASP及其他同级别语言/平台</t>
  </si>
  <si>
    <t>为其他行业开发过类似的软件，或为本行业（政府）开发过不同但相关的软件</t>
  </si>
  <si>
    <t>没有同类软件及本行业（政府）相关软件开发背景</t>
  </si>
  <si>
    <t>重用程度调整系数</t>
  </si>
  <si>
    <t>取值</t>
  </si>
  <si>
    <t>该功能在系统中有一样的功能模块反复出现，代码复用程度高</t>
  </si>
  <si>
    <t>该功能在系统中有一样的功能模块少量重复，代码复用程度中等</t>
  </si>
  <si>
    <t>低</t>
  </si>
  <si>
    <t>该功能在系统中没有其它功能模块能够利旧，代码复用程度低</t>
  </si>
  <si>
    <t>修改类型调整系数</t>
  </si>
  <si>
    <t>本期项目新增的功能模块</t>
  </si>
  <si>
    <t>最新软件评估行业颁布的基准数据</t>
  </si>
  <si>
    <t>修改往期项目的功能模块</t>
  </si>
  <si>
    <t>删除</t>
  </si>
  <si>
    <t>删除往期项目的功能模块</t>
  </si>
  <si>
    <t>ILF为内部逻辑文件数量</t>
  </si>
  <si>
    <t>国标</t>
  </si>
  <si>
    <t>EIF</t>
  </si>
  <si>
    <t>EIF为外部接口文件数量</t>
  </si>
  <si>
    <t>EI为外部输入数量</t>
  </si>
  <si>
    <t>EO为外部输出数量</t>
  </si>
  <si>
    <t>EQ为外部查询数量</t>
  </si>
  <si>
    <t>3.评估结果表</t>
  </si>
  <si>
    <t>数值</t>
  </si>
  <si>
    <t>说明</t>
  </si>
  <si>
    <t>规模估算结果（单位：功能点）</t>
  </si>
  <si>
    <t>规模变更调整因子</t>
  </si>
  <si>
    <t>CF，项目阶段</t>
  </si>
  <si>
    <t>调整后规模（单位：功能点）</t>
  </si>
  <si>
    <t>S，等于AFP*CF</t>
  </si>
  <si>
    <t>基准生产率（单位：人时/功能点）</t>
  </si>
  <si>
    <t>PDR，来自《2024年软件行业基准数据》</t>
  </si>
  <si>
    <t>未调整工作量（单位：人天）</t>
  </si>
  <si>
    <t>S*PDR/8h</t>
  </si>
  <si>
    <t>A,应用类型调整因子</t>
  </si>
  <si>
    <t>B,质量特性调整因子</t>
  </si>
  <si>
    <t>C,开发语言调整因子</t>
  </si>
  <si>
    <t>D,开发团队背景调整因子</t>
  </si>
  <si>
    <t>调整后工作量（单位：人天）</t>
  </si>
  <si>
    <t>AE,S*PDR/8h*A*B*C*D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</si>
</sst>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  <numFmt numFmtId="179" formatCode="0.00_);[Red]\(0.00\)"/>
  </numFmts>
  <fonts count="46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10"/>
      <color rgb="FF0070C0"/>
      <name val="宋体"/>
      <charset val="134"/>
    </font>
    <font>
      <b/>
      <sz val="10"/>
      <color indexed="8"/>
      <name val="宋体"/>
      <charset val="134"/>
    </font>
    <font>
      <sz val="8"/>
      <color theme="1"/>
      <name val="宋体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1"/>
      <color rgb="FFFF0000"/>
      <name val="宋体"/>
      <charset val="134"/>
    </font>
    <font>
      <sz val="10"/>
      <color theme="1"/>
      <name val="宋体"/>
      <charset val="134"/>
      <scheme val="minor"/>
    </font>
    <font>
      <b/>
      <sz val="8"/>
      <color rgb="FFFF0000"/>
      <name val="宋体"/>
      <charset val="134"/>
      <scheme val="minor"/>
    </font>
    <font>
      <sz val="9"/>
      <color theme="1"/>
      <name val="宋体"/>
      <charset val="134"/>
    </font>
    <font>
      <sz val="9"/>
      <name val="宋体"/>
      <charset val="134"/>
    </font>
    <font>
      <sz val="11"/>
      <name val="宋体"/>
      <charset val="134"/>
      <scheme val="minor"/>
    </font>
    <font>
      <sz val="9"/>
      <color rgb="FF0F1115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2" fillId="12" borderId="12" applyNumberFormat="0" applyAlignment="0" applyProtection="0">
      <alignment vertical="center"/>
    </xf>
    <xf numFmtId="0" fontId="33" fillId="13" borderId="13" applyNumberFormat="0" applyAlignment="0" applyProtection="0">
      <alignment vertical="center"/>
    </xf>
    <xf numFmtId="0" fontId="34" fillId="13" borderId="12" applyNumberFormat="0" applyAlignment="0" applyProtection="0">
      <alignment vertical="center"/>
    </xf>
    <xf numFmtId="0" fontId="35" fillId="14" borderId="14" applyNumberFormat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0" borderId="0"/>
    <xf numFmtId="0" fontId="13" fillId="0" borderId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4" borderId="1" xfId="0" applyFill="1" applyBorder="1">
      <alignment vertical="center"/>
    </xf>
    <xf numFmtId="176" fontId="0" fillId="5" borderId="1" xfId="0" applyNumberForma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176" fontId="4" fillId="5" borderId="1" xfId="0" applyNumberFormat="1" applyFont="1" applyFill="1" applyBorder="1">
      <alignment vertical="center"/>
    </xf>
    <xf numFmtId="9" fontId="0" fillId="0" borderId="0" xfId="0" applyNumberFormat="1">
      <alignment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176" fontId="4" fillId="6" borderId="1" xfId="0" applyNumberFormat="1" applyFont="1" applyFill="1" applyBorder="1">
      <alignment vertical="center"/>
    </xf>
    <xf numFmtId="0" fontId="5" fillId="7" borderId="1" xfId="0" applyFont="1" applyFill="1" applyBorder="1">
      <alignment vertical="center"/>
    </xf>
    <xf numFmtId="0" fontId="5" fillId="0" borderId="0" xfId="0" applyFo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176" fontId="0" fillId="6" borderId="1" xfId="0" applyNumberFormat="1" applyFill="1" applyBorder="1">
      <alignment vertical="center"/>
    </xf>
    <xf numFmtId="0" fontId="0" fillId="3" borderId="1" xfId="0" applyFont="1" applyFill="1" applyBorder="1" applyAlignment="1">
      <alignment horizontal="left" vertical="center"/>
    </xf>
    <xf numFmtId="176" fontId="6" fillId="5" borderId="1" xfId="0" applyNumberFormat="1" applyFont="1" applyFill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7" fillId="0" borderId="4" xfId="0" applyFont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177" fontId="7" fillId="5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78" fontId="7" fillId="5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justify" vertical="center" wrapText="1"/>
    </xf>
    <xf numFmtId="177" fontId="7" fillId="4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76" fontId="7" fillId="4" borderId="1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76" fontId="7" fillId="4" borderId="0" xfId="0" applyNumberFormat="1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78" fontId="7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top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 applyProtection="1">
      <alignment horizontal="left" vertical="center"/>
      <protection locked="0"/>
    </xf>
    <xf numFmtId="179" fontId="13" fillId="5" borderId="1" xfId="0" applyNumberFormat="1" applyFont="1" applyFill="1" applyBorder="1" applyAlignment="1" applyProtection="1">
      <alignment horizontal="left" vertical="center"/>
    </xf>
    <xf numFmtId="0" fontId="14" fillId="2" borderId="1" xfId="0" applyFont="1" applyFill="1" applyBorder="1" applyAlignment="1" applyProtection="1">
      <alignment horizontal="left" vertical="center"/>
      <protection locked="0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179" fontId="15" fillId="5" borderId="1" xfId="0" applyNumberFormat="1" applyFont="1" applyFill="1" applyBorder="1" applyAlignment="1" applyProtection="1">
      <alignment horizontal="left" vertical="center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 applyProtection="1">
      <alignment horizontal="left" vertical="center" wrapText="1"/>
      <protection locked="0"/>
    </xf>
    <xf numFmtId="0" fontId="17" fillId="3" borderId="1" xfId="0" applyFont="1" applyFill="1" applyBorder="1" applyAlignment="1" applyProtection="1">
      <alignment horizontal="center" vertical="center" wrapText="1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justify" vertical="center"/>
    </xf>
    <xf numFmtId="0" fontId="19" fillId="0" borderId="1" xfId="0" applyFont="1" applyFill="1" applyBorder="1" applyAlignment="1" applyProtection="1">
      <alignment horizontal="left" vertical="center"/>
      <protection locked="0"/>
    </xf>
    <xf numFmtId="0" fontId="20" fillId="0" borderId="1" xfId="0" applyFon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</xf>
    <xf numFmtId="0" fontId="18" fillId="0" borderId="1" xfId="0" applyFont="1" applyFill="1" applyBorder="1" applyAlignment="1">
      <alignment horizontal="justify" vertical="center"/>
    </xf>
    <xf numFmtId="0" fontId="21" fillId="0" borderId="1" xfId="0" applyFont="1" applyBorder="1" applyAlignment="1">
      <alignment vertical="center"/>
    </xf>
    <xf numFmtId="0" fontId="21" fillId="0" borderId="1" xfId="0" applyFont="1" applyFill="1" applyBorder="1" applyAlignment="1">
      <alignment vertical="center"/>
    </xf>
    <xf numFmtId="0" fontId="17" fillId="3" borderId="1" xfId="0" applyFon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76" fontId="0" fillId="5" borderId="1" xfId="0" applyNumberForma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left" vertical="center"/>
      <protection locked="0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4" fillId="3" borderId="7" xfId="0" applyFont="1" applyFill="1" applyBorder="1" applyAlignment="1" applyProtection="1">
      <alignment horizontal="center" vertical="center"/>
      <protection locked="0"/>
    </xf>
    <xf numFmtId="176" fontId="4" fillId="5" borderId="8" xfId="0" applyNumberFormat="1" applyFont="1" applyFill="1" applyBorder="1" applyAlignment="1" applyProtection="1">
      <alignment horizontal="center" vertical="center"/>
    </xf>
    <xf numFmtId="0" fontId="4" fillId="3" borderId="8" xfId="0" applyFont="1" applyFill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22" fillId="0" borderId="0" xfId="0" applyFont="1">
      <alignment vertical="center"/>
    </xf>
    <xf numFmtId="0" fontId="23" fillId="10" borderId="1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0" xfId="0" applyFont="1">
      <alignment vertical="center"/>
    </xf>
    <xf numFmtId="0" fontId="24" fillId="0" borderId="1" xfId="0" applyFont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24" fillId="3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5" xfId="49"/>
    <cellStyle name="0,0_x000d__x000a_NA_x0008__x0004_" xfId="50"/>
    <cellStyle name="常规 4" xfId="51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customXml" Target="../customXml/item1.xml"/>
  <Relationship Id="rId6" Type="http://schemas.openxmlformats.org/officeDocument/2006/relationships/theme" Target="theme/theme1.xml"/>
  <Relationship Id="rId7" Type="http://schemas.openxmlformats.org/officeDocument/2006/relationships/sharedStrings" Target="sharedStrings.xml"/>
  <Relationship Id="rId8" Type="http://schemas.openxmlformats.org/officeDocument/2006/relationships/styles" Target="style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comments" Target="../comments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0" tint="-0.349986266670736"/>
  </sheetPr>
  <dimension ref="A1:B8"/>
  <sheetViews>
    <sheetView workbookViewId="0">
      <selection activeCell="B7" sqref="B7"/>
    </sheetView>
  </sheetViews>
  <sheetFormatPr defaultColWidth="8.91150442477876" defaultRowHeight="12.75" outlineLevelRow="7" outlineLevelCol="1"/>
  <cols>
    <col min="1" max="1" customWidth="true" style="99" width="16.0" collapsed="false"/>
    <col min="2" max="2" customWidth="true" style="99" width="149.451327433628" collapsed="false"/>
    <col min="3" max="16384" style="99" width="8.91150442477876" collapsed="false"/>
  </cols>
  <sheetData>
    <row r="1" ht="72.65" customHeight="1" spans="1:2">
      <c r="A1" s="100" t="s">
        <v>0</v>
      </c>
      <c r="B1" s="100"/>
    </row>
    <row r="2" ht="15.75" spans="1:2">
      <c r="A2" s="101"/>
      <c r="B2" s="101"/>
    </row>
    <row r="3" ht="15.75" spans="1:2">
      <c r="A3" s="102"/>
      <c r="B3" s="102"/>
    </row>
    <row r="4" ht="15.75" spans="1:2">
      <c r="A4" s="103" t="s">
        <v>1</v>
      </c>
      <c r="B4" s="104" t="s">
        <v>2</v>
      </c>
    </row>
    <row r="5" ht="15.75" spans="1:2">
      <c r="A5" s="105" t="s">
        <v>3</v>
      </c>
      <c r="B5" s="104" t="s">
        <v>4</v>
      </c>
    </row>
    <row r="6" ht="15.75" spans="1:2">
      <c r="A6" s="106" t="s">
        <v>5</v>
      </c>
      <c r="B6" s="104" t="s">
        <v>6</v>
      </c>
    </row>
    <row r="7" ht="15.75" spans="1:2">
      <c r="A7" s="107" t="s">
        <v>7</v>
      </c>
      <c r="B7" s="104" t="s">
        <v>8</v>
      </c>
    </row>
    <row r="8" spans="1:1">
      <c r="A8" s="108"/>
    </row>
  </sheetData>
  <mergeCells count="1">
    <mergeCell ref="A1:B1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FF00"/>
  </sheetPr>
  <dimension ref="A1:L84"/>
  <sheetViews>
    <sheetView tabSelected="1" workbookViewId="0">
      <pane xSplit="12" ySplit="8" topLeftCell="M21" activePane="bottomRight" state="frozen"/>
      <selection/>
      <selection pane="topRight"/>
      <selection pane="bottomLeft"/>
      <selection pane="bottomRight" activeCell="H64" sqref="H64"/>
    </sheetView>
  </sheetViews>
  <sheetFormatPr defaultColWidth="9" defaultRowHeight="13.5"/>
  <cols>
    <col min="1" max="1" customWidth="true" style="3" width="8.8141592920354" collapsed="false"/>
    <col min="2" max="3" customWidth="true" width="19.8761061946903" collapsed="false"/>
    <col min="4" max="4" customWidth="true" width="25.6283185840708" collapsed="false"/>
    <col min="5" max="5" customWidth="true" width="26.7522123893805" collapsed="false"/>
    <col min="6" max="6" customWidth="true" width="32.0" collapsed="false"/>
    <col min="7" max="11" customWidth="true" style="3" width="8.8141592920354" collapsed="false"/>
    <col min="12" max="12" customWidth="true" width="16.6283185840708" collapsed="false"/>
  </cols>
  <sheetData>
    <row r="1" ht="42" customHeight="1" spans="1:12">
      <c r="A1" s="60" t="s">
        <v>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3" spans="1:12">
      <c r="A3" s="61" t="s">
        <v>10</v>
      </c>
      <c r="B3" s="62"/>
      <c r="C3" s="63" t="s">
        <v>11</v>
      </c>
      <c r="D3" s="64" t="s">
        <v>12</v>
      </c>
      <c r="E3" s="64"/>
      <c r="F3" s="64"/>
      <c r="G3" s="65"/>
      <c r="H3" s="65"/>
      <c r="I3" s="65"/>
      <c r="J3" s="65"/>
      <c r="K3" s="65"/>
      <c r="L3" s="64"/>
    </row>
    <row r="4" spans="1:12">
      <c r="A4" s="66" t="s">
        <v>13</v>
      </c>
      <c r="B4" s="67"/>
      <c r="C4" s="68">
        <f>H84</f>
        <v>398</v>
      </c>
      <c r="D4" s="69" t="s">
        <v>14</v>
      </c>
      <c r="E4" s="69"/>
      <c r="F4" s="69"/>
      <c r="G4" s="70"/>
      <c r="H4" s="70"/>
      <c r="I4" s="70"/>
      <c r="J4" s="70"/>
      <c r="K4" s="70"/>
      <c r="L4" s="69"/>
    </row>
    <row r="5" spans="1:12">
      <c r="A5" s="66" t="s">
        <v>15</v>
      </c>
      <c r="B5" s="67"/>
      <c r="C5" s="71">
        <f>K84</f>
        <v>122.6</v>
      </c>
      <c r="D5" s="69" t="s">
        <v>16</v>
      </c>
      <c r="E5" s="69"/>
      <c r="F5" s="69"/>
      <c r="G5" s="70"/>
      <c r="H5" s="70"/>
      <c r="I5" s="70"/>
      <c r="J5" s="70"/>
      <c r="K5" s="70"/>
      <c r="L5" s="69"/>
    </row>
    <row r="6" ht="34" customHeight="1" spans="1:12">
      <c r="A6" s="72" t="s">
        <v>17</v>
      </c>
      <c r="B6" s="72"/>
      <c r="C6" s="72"/>
      <c r="D6" s="72"/>
      <c r="E6" s="72"/>
      <c r="F6" s="72"/>
      <c r="G6" s="73"/>
      <c r="H6" s="73"/>
      <c r="I6" s="73"/>
      <c r="J6" s="73"/>
      <c r="K6" s="73"/>
      <c r="L6" s="72"/>
    </row>
    <row r="7" s="52" customFormat="1" spans="1:12">
      <c r="A7" s="74" t="s">
        <v>18</v>
      </c>
      <c r="B7" s="75" t="s">
        <v>19</v>
      </c>
      <c r="C7" s="75" t="s">
        <v>20</v>
      </c>
      <c r="D7" s="75" t="s">
        <v>21</v>
      </c>
      <c r="E7" s="75" t="s">
        <v>22</v>
      </c>
      <c r="F7" s="75" t="s">
        <v>23</v>
      </c>
      <c r="G7" s="74" t="s">
        <v>24</v>
      </c>
      <c r="H7" s="74" t="s">
        <v>25</v>
      </c>
      <c r="I7" s="74" t="s">
        <v>26</v>
      </c>
      <c r="J7" s="74" t="s">
        <v>27</v>
      </c>
      <c r="K7" s="74" t="s">
        <v>28</v>
      </c>
      <c r="L7" s="75" t="s">
        <v>29</v>
      </c>
    </row>
    <row r="8" s="53" customFormat="1" ht="30.4" spans="1:12">
      <c r="A8" s="76" t="s">
        <v>30</v>
      </c>
      <c r="B8" s="77" t="s">
        <v>31</v>
      </c>
      <c r="C8" s="77" t="s">
        <v>31</v>
      </c>
      <c r="D8" s="77" t="s">
        <v>31</v>
      </c>
      <c r="E8" s="77" t="s">
        <v>31</v>
      </c>
      <c r="F8" s="77" t="s">
        <v>31</v>
      </c>
      <c r="G8" s="78" t="s">
        <v>32</v>
      </c>
      <c r="H8" s="78" t="s">
        <v>33</v>
      </c>
      <c r="I8" s="78" t="s">
        <v>34</v>
      </c>
      <c r="J8" s="78" t="s">
        <v>35</v>
      </c>
      <c r="K8" s="78" t="s">
        <v>36</v>
      </c>
      <c r="L8" s="87" t="s">
        <v>37</v>
      </c>
    </row>
    <row r="9" s="54" customFormat="1" spans="1:12">
      <c r="A9" s="79">
        <v>1</v>
      </c>
      <c r="B9" s="80" t="s">
        <v>38</v>
      </c>
      <c r="C9" s="80" t="s">
        <v>39</v>
      </c>
      <c r="D9" s="80" t="s">
        <v>40</v>
      </c>
      <c r="E9" s="80" t="s">
        <v>40</v>
      </c>
      <c r="F9" s="81" t="s">
        <v>41</v>
      </c>
      <c r="G9" s="82" t="s">
        <v>42</v>
      </c>
      <c r="H9" s="83">
        <f>IF(G9="ILF",'3. 调整因子'!$D$63,IF(G9="EIF",'3. 调整因子'!$D$64,IF(G9="EI",'3. 调整因子'!$D$65,IF(G9="EO",'3. 调整因子'!$D$66,IF(G9="EQ",'3. 调整因子'!$D$67,"")))))</f>
        <v>4</v>
      </c>
      <c r="I9" s="88" t="s">
        <v>43</v>
      </c>
      <c r="J9" s="88" t="s">
        <v>44</v>
      </c>
      <c r="K9" s="89">
        <v>0</v>
      </c>
      <c r="L9" s="90"/>
    </row>
    <row r="10" s="54" customFormat="1" spans="1:12">
      <c r="A10" s="79">
        <v>2</v>
      </c>
      <c r="B10" s="80" t="s">
        <v>38</v>
      </c>
      <c r="C10" s="80" t="s">
        <v>39</v>
      </c>
      <c r="D10" s="80" t="s">
        <v>40</v>
      </c>
      <c r="E10" s="80" t="s">
        <v>40</v>
      </c>
      <c r="F10" s="81" t="s">
        <v>45</v>
      </c>
      <c r="G10" s="82" t="s">
        <v>42</v>
      </c>
      <c r="H10" s="83">
        <f>IF(G10="ILF",'3. 调整因子'!$D$63,IF(G10="EIF",'3. 调整因子'!$D$64,IF(G10="EI",'3. 调整因子'!$D$65,IF(G10="EO",'3. 调整因子'!$D$66,IF(G10="EQ",'3. 调整因子'!$D$67,"")))))</f>
        <v>4</v>
      </c>
      <c r="I10" s="88" t="s">
        <v>43</v>
      </c>
      <c r="J10" s="88" t="s">
        <v>44</v>
      </c>
      <c r="K10" s="89">
        <v>0</v>
      </c>
      <c r="L10" s="90"/>
    </row>
    <row r="11" s="54" customFormat="1" spans="1:12">
      <c r="A11" s="79">
        <v>3</v>
      </c>
      <c r="B11" s="80" t="s">
        <v>38</v>
      </c>
      <c r="C11" s="80" t="s">
        <v>39</v>
      </c>
      <c r="D11" s="80" t="s">
        <v>40</v>
      </c>
      <c r="E11" s="80" t="s">
        <v>40</v>
      </c>
      <c r="F11" s="81" t="s">
        <v>46</v>
      </c>
      <c r="G11" s="82" t="s">
        <v>47</v>
      </c>
      <c r="H11" s="83">
        <f>IF(G11="ILF",'3. 调整因子'!$D$63,IF(G11="EIF",'3. 调整因子'!$D$64,IF(G11="EI",'3. 调整因子'!$D$65,IF(G11="EO",'3. 调整因子'!$D$66,IF(G11="EQ",'3. 调整因子'!$D$67,"")))))</f>
        <v>5</v>
      </c>
      <c r="I11" s="88" t="s">
        <v>43</v>
      </c>
      <c r="J11" s="88" t="s">
        <v>44</v>
      </c>
      <c r="K11" s="89">
        <f>IF(H11="","",IF(I11="高",IF(J11="删除",H11*'3. 调整因子'!$D$53*'3. 调整因子'!$D$60,IF(J11="修改",H11*'3. 调整因子'!$D$53*'3. 调整因子'!$D$59,H11*'3. 调整因子'!$D$53*'3. 调整因子'!$D$58)),IF(I11="中",IF(J11="删除",H11*'3. 调整因子'!$D$54*'3. 调整因子'!$D$60,IF(J11="修改",H11*'3. 调整因子'!$D$54*'3. 调整因子'!$D$59,H11*'3. 调整因子'!$D$54*'3. 调整因子'!$D$58)),IF(J11="删除",H11*'3. 调整因子'!$D$55*'3. 调整因子'!$D$60,IF(J11="修改",H11*'3. 调整因子'!$D$55*'3. 调整因子'!$D$59,H11*'3. 调整因子'!$D$55*'3. 调整因子'!$D$58)))))</f>
        <v>1.66666666666666</v>
      </c>
      <c r="L11" s="90"/>
    </row>
    <row r="12" s="54" customFormat="1" spans="1:12">
      <c r="A12" s="79">
        <v>4</v>
      </c>
      <c r="B12" s="80" t="s">
        <v>38</v>
      </c>
      <c r="C12" s="80" t="s">
        <v>39</v>
      </c>
      <c r="D12" s="80" t="s">
        <v>40</v>
      </c>
      <c r="E12" s="80" t="s">
        <v>40</v>
      </c>
      <c r="F12" s="81" t="s">
        <v>48</v>
      </c>
      <c r="G12" s="82" t="s">
        <v>47</v>
      </c>
      <c r="H12" s="83">
        <f>IF(G12="ILF",'3. 调整因子'!$D$63,IF(G12="EIF",'3. 调整因子'!$D$64,IF(G12="EI",'3. 调整因子'!$D$65,IF(G12="EO",'3. 调整因子'!$D$66,IF(G12="EQ",'3. 调整因子'!$D$67,"")))))</f>
        <v>5</v>
      </c>
      <c r="I12" s="88" t="s">
        <v>49</v>
      </c>
      <c r="J12" s="88" t="s">
        <v>44</v>
      </c>
      <c r="K12" s="89">
        <f>IF(H12="","",IF(I12="高",IF(J12="删除",H12*'3. 调整因子'!$D$53*'3. 调整因子'!$D$60,IF(J12="修改",H12*'3. 调整因子'!$D$53*'3. 调整因子'!$D$59,H12*'3. 调整因子'!$D$53*'3. 调整因子'!$D$58)),IF(I12="中",IF(J12="删除",H12*'3. 调整因子'!$D$54*'3. 调整因子'!$D$60,IF(J12="修改",H12*'3. 调整因子'!$D$54*'3. 调整因子'!$D$59,H12*'3. 调整因子'!$D$54*'3. 调整因子'!$D$58)),IF(J12="删除",H12*'3. 调整因子'!$D$55*'3. 调整因子'!$D$60,IF(J12="修改",H12*'3. 调整因子'!$D$55*'3. 调整因子'!$D$59,H12*'3. 调整因子'!$D$55*'3. 调整因子'!$D$58)))))</f>
        <v>3.33333333333333</v>
      </c>
      <c r="L12" s="90"/>
    </row>
    <row r="13" s="55" customFormat="1" spans="1:12">
      <c r="A13" s="79">
        <v>5</v>
      </c>
      <c r="B13" s="80" t="s">
        <v>38</v>
      </c>
      <c r="C13" s="80" t="s">
        <v>39</v>
      </c>
      <c r="D13" s="80" t="s">
        <v>40</v>
      </c>
      <c r="E13" s="80" t="s">
        <v>40</v>
      </c>
      <c r="F13" s="81" t="s">
        <v>50</v>
      </c>
      <c r="G13" s="82" t="s">
        <v>51</v>
      </c>
      <c r="H13" s="83">
        <f>IF(G13="ILF",'3. 调整因子'!$D$63,IF(G13="EIF",'3. 调整因子'!$D$64,IF(G13="EI",'3. 调整因子'!$D$65,IF(G13="EO",'3. 调整因子'!$D$66,IF(G13="EQ",'3. 调整因子'!$D$67,"")))))</f>
        <v>7</v>
      </c>
      <c r="I13" s="88" t="s">
        <v>43</v>
      </c>
      <c r="J13" s="88" t="s">
        <v>44</v>
      </c>
      <c r="K13" s="89">
        <f>IF(H13="","",IF(I13="高",IF(J13="删除",H13*'3. 调整因子'!$D$53*'3. 调整因子'!$D$60,IF(J13="修改",H13*'3. 调整因子'!$D$53*'3. 调整因子'!$D$59,H13*'3. 调整因子'!$D$53*'3. 调整因子'!$D$58)),IF(I13="中",IF(J13="删除",H13*'3. 调整因子'!$D$54*'3. 调整因子'!$D$60,IF(J13="修改",H13*'3. 调整因子'!$D$54*'3. 调整因子'!$D$59,H13*'3. 调整因子'!$D$54*'3. 调整因子'!$D$58)),IF(J13="删除",H13*'3. 调整因子'!$D$55*'3. 调整因子'!$D$60,IF(J13="修改",H13*'3. 调整因子'!$D$55*'3. 调整因子'!$D$59,H13*'3. 调整因子'!$D$55*'3. 调整因子'!$D$58)))))</f>
        <v>2.33333333333333</v>
      </c>
      <c r="L13" s="90"/>
    </row>
    <row r="14" s="56" customFormat="1" spans="1:12">
      <c r="A14" s="79">
        <v>6</v>
      </c>
      <c r="B14" s="84" t="s">
        <v>38</v>
      </c>
      <c r="C14" s="84" t="s">
        <v>39</v>
      </c>
      <c r="D14" s="84" t="s">
        <v>40</v>
      </c>
      <c r="E14" s="84" t="s">
        <v>40</v>
      </c>
      <c r="F14" s="81" t="s">
        <v>52</v>
      </c>
      <c r="G14" s="82" t="s">
        <v>51</v>
      </c>
      <c r="H14" s="83">
        <f>IF(G14="ILF",'3. 调整因子'!$D$63,IF(G14="EIF",'3. 调整因子'!$D$64,IF(G14="EI",'3. 调整因子'!$D$65,IF(G14="EO",'3. 调整因子'!$D$66,IF(G14="EQ",'3. 调整因子'!$D$67,"")))))</f>
        <v>7</v>
      </c>
      <c r="I14" s="88" t="s">
        <v>43</v>
      </c>
      <c r="J14" s="91" t="s">
        <v>44</v>
      </c>
      <c r="K14" s="89">
        <f>IF(H14="","",IF(I14="高",IF(J14="删除",H14*'3. 调整因子'!$D$53*'3. 调整因子'!$D$60,IF(J14="修改",H14*'3. 调整因子'!$D$53*'3. 调整因子'!$D$59,H14*'3. 调整因子'!$D$53*'3. 调整因子'!$D$58)),IF(I14="中",IF(J14="删除",H14*'3. 调整因子'!$D$54*'3. 调整因子'!$D$60,IF(J14="修改",H14*'3. 调整因子'!$D$54*'3. 调整因子'!$D$59,H14*'3. 调整因子'!$D$54*'3. 调整因子'!$D$58)),IF(J14="删除",H14*'3. 调整因子'!$D$55*'3. 调整因子'!$D$60,IF(J14="修改",H14*'3. 调整因子'!$D$55*'3. 调整因子'!$D$59,H14*'3. 调整因子'!$D$55*'3. 调整因子'!$D$58)))))</f>
        <v>2.33333333333333</v>
      </c>
      <c r="L14" s="92"/>
    </row>
    <row r="15" spans="1:12">
      <c r="A15" s="79">
        <v>7</v>
      </c>
      <c r="B15" s="80" t="s">
        <v>38</v>
      </c>
      <c r="C15" s="80" t="s">
        <v>39</v>
      </c>
      <c r="D15" s="80" t="s">
        <v>40</v>
      </c>
      <c r="E15" s="80" t="s">
        <v>40</v>
      </c>
      <c r="F15" s="81" t="s">
        <v>53</v>
      </c>
      <c r="G15" s="82" t="s">
        <v>54</v>
      </c>
      <c r="H15" s="83">
        <f>IF(G15="ILF",'3. 调整因子'!$D$63,IF(G15="EIF",'3. 调整因子'!$D$64,IF(G15="EI",'3. 调整因子'!$D$65,IF(G15="EO",'3. 调整因子'!$D$66,IF(G15="EQ",'3. 调整因子'!$D$67,"")))))</f>
        <v>4</v>
      </c>
      <c r="I15" s="88" t="s">
        <v>49</v>
      </c>
      <c r="J15" s="88" t="s">
        <v>44</v>
      </c>
      <c r="K15" s="89">
        <f>IF(H15="","",IF(I15="高",IF(J15="删除",H15*'3. 调整因子'!$D$53*'3. 调整因子'!$D$60,IF(J15="修改",H15*'3. 调整因子'!$D$53*'3. 调整因子'!$D$59,H15*'3. 调整因子'!$D$53*'3. 调整因子'!$D$58)),IF(I15="中",IF(J15="删除",H15*'3. 调整因子'!$D$54*'3. 调整因子'!$D$60,IF(J15="修改",H15*'3. 调整因子'!$D$54*'3. 调整因子'!$D$59,H15*'3. 调整因子'!$D$54*'3. 调整因子'!$D$58)),IF(J15="删除",H15*'3. 调整因子'!$D$55*'3. 调整因子'!$D$60,IF(J15="修改",H15*'3. 调整因子'!$D$55*'3. 调整因子'!$D$59,H15*'3. 调整因子'!$D$55*'3. 调整因子'!$D$58)))))</f>
        <v>2.66666666666667</v>
      </c>
      <c r="L15" s="90"/>
    </row>
    <row r="16" spans="1:12">
      <c r="A16" s="79">
        <v>8</v>
      </c>
      <c r="B16" s="80" t="s">
        <v>38</v>
      </c>
      <c r="C16" s="80" t="s">
        <v>39</v>
      </c>
      <c r="D16" s="80" t="s">
        <v>40</v>
      </c>
      <c r="E16" s="80" t="s">
        <v>40</v>
      </c>
      <c r="F16" s="85" t="s">
        <v>55</v>
      </c>
      <c r="G16" s="82" t="s">
        <v>47</v>
      </c>
      <c r="H16" s="83">
        <f>IF(G16="ILF",'3. 调整因子'!$D$63,IF(G16="EIF",'3. 调整因子'!$D$64,IF(G16="EI",'3. 调整因子'!$D$65,IF(G16="EO",'3. 调整因子'!$D$66,IF(G16="EQ",'3. 调整因子'!$D$67,"")))))</f>
        <v>5</v>
      </c>
      <c r="I16" s="88" t="s">
        <v>43</v>
      </c>
      <c r="J16" s="88" t="s">
        <v>44</v>
      </c>
      <c r="K16" s="89">
        <f>IF(H16="","",IF(I16="高",IF(J16="删除",H16*'3. 调整因子'!$D$53*'3. 调整因子'!$D$60,IF(J16="修改",H16*'3. 调整因子'!$D$53*'3. 调整因子'!$D$59,H16*'3. 调整因子'!$D$53*'3. 调整因子'!$D$58)),IF(I16="中",IF(J16="删除",H16*'3. 调整因子'!$D$54*'3. 调整因子'!$D$60,IF(J16="修改",H16*'3. 调整因子'!$D$54*'3. 调整因子'!$D$59,H16*'3. 调整因子'!$D$54*'3. 调整因子'!$D$58)),IF(J16="删除",H16*'3. 调整因子'!$D$55*'3. 调整因子'!$D$60,IF(J16="修改",H16*'3. 调整因子'!$D$55*'3. 调整因子'!$D$59,H16*'3. 调整因子'!$D$55*'3. 调整因子'!$D$58)))))</f>
        <v>1.66666666666666</v>
      </c>
      <c r="L16" s="90"/>
    </row>
    <row r="17" s="56" customFormat="1" spans="1:12">
      <c r="A17" s="79">
        <v>9</v>
      </c>
      <c r="B17" s="84" t="s">
        <v>38</v>
      </c>
      <c r="C17" s="84" t="s">
        <v>39</v>
      </c>
      <c r="D17" s="84" t="s">
        <v>40</v>
      </c>
      <c r="E17" s="84" t="s">
        <v>40</v>
      </c>
      <c r="F17" s="81" t="s">
        <v>56</v>
      </c>
      <c r="G17" s="82" t="s">
        <v>51</v>
      </c>
      <c r="H17" s="83">
        <f>IF(G17="ILF",'3. 调整因子'!$D$63,IF(G17="EIF",'3. 调整因子'!$D$64,IF(G17="EI",'3. 调整因子'!$D$65,IF(G17="EO",'3. 调整因子'!$D$66,IF(G17="EQ",'3. 调整因子'!$D$67,"")))))</f>
        <v>7</v>
      </c>
      <c r="I17" s="91" t="s">
        <v>43</v>
      </c>
      <c r="J17" s="91" t="s">
        <v>44</v>
      </c>
      <c r="K17" s="89">
        <f>IF(H17="","",IF(I17="高",IF(J17="删除",H17*'3. 调整因子'!$D$53*'3. 调整因子'!$D$60,IF(J17="修改",H17*'3. 调整因子'!$D$53*'3. 调整因子'!$D$59,H17*'3. 调整因子'!$D$53*'3. 调整因子'!$D$58)),IF(I17="中",IF(J17="删除",H17*'3. 调整因子'!$D$54*'3. 调整因子'!$D$60,IF(J17="修改",H17*'3. 调整因子'!$D$54*'3. 调整因子'!$D$59,H17*'3. 调整因子'!$D$54*'3. 调整因子'!$D$58)),IF(J17="删除",H17*'3. 调整因子'!$D$55*'3. 调整因子'!$D$60,IF(J17="修改",H17*'3. 调整因子'!$D$55*'3. 调整因子'!$D$59,H17*'3. 调整因子'!$D$55*'3. 调整因子'!$D$58)))))</f>
        <v>2.33333333333333</v>
      </c>
      <c r="L17" s="92"/>
    </row>
    <row r="18" s="54" customFormat="1" spans="1:12">
      <c r="A18" s="79">
        <v>10</v>
      </c>
      <c r="B18" s="80" t="s">
        <v>38</v>
      </c>
      <c r="C18" s="80" t="s">
        <v>39</v>
      </c>
      <c r="D18" s="80" t="s">
        <v>40</v>
      </c>
      <c r="E18" s="80" t="s">
        <v>40</v>
      </c>
      <c r="F18" s="81" t="s">
        <v>57</v>
      </c>
      <c r="G18" s="82" t="s">
        <v>54</v>
      </c>
      <c r="H18" s="83">
        <f>IF(G18="ILF",'3. 调整因子'!$D$63,IF(G18="EIF",'3. 调整因子'!$D$64,IF(G18="EI",'3. 调整因子'!$D$65,IF(G18="EO",'3. 调整因子'!$D$66,IF(G18="EQ",'3. 调整因子'!$D$67,"")))))</f>
        <v>4</v>
      </c>
      <c r="I18" s="88" t="s">
        <v>43</v>
      </c>
      <c r="J18" s="88" t="s">
        <v>44</v>
      </c>
      <c r="K18" s="89">
        <v>1</v>
      </c>
      <c r="L18" s="90"/>
    </row>
    <row r="19" s="54" customFormat="1" spans="1:12">
      <c r="A19" s="79">
        <v>11</v>
      </c>
      <c r="B19" s="80" t="s">
        <v>38</v>
      </c>
      <c r="C19" s="80" t="s">
        <v>39</v>
      </c>
      <c r="D19" s="80" t="s">
        <v>40</v>
      </c>
      <c r="E19" s="80" t="s">
        <v>40</v>
      </c>
      <c r="F19" s="81" t="s">
        <v>58</v>
      </c>
      <c r="G19" s="82" t="s">
        <v>47</v>
      </c>
      <c r="H19" s="83">
        <f>IF(G19="ILF",'3. 调整因子'!$D$63,IF(G19="EIF",'3. 调整因子'!$D$64,IF(G19="EI",'3. 调整因子'!$D$65,IF(G19="EO",'3. 调整因子'!$D$66,IF(G19="EQ",'3. 调整因子'!$D$67,"")))))</f>
        <v>5</v>
      </c>
      <c r="I19" s="88" t="s">
        <v>43</v>
      </c>
      <c r="J19" s="88" t="s">
        <v>44</v>
      </c>
      <c r="K19" s="89">
        <f>IF(H19="","",IF(I19="高",IF(J19="删除",H19*'3. 调整因子'!$D$53*'3. 调整因子'!$D$60,IF(J19="修改",H19*'3. 调整因子'!$D$53*'3. 调整因子'!$D$59,H19*'3. 调整因子'!$D$53*'3. 调整因子'!$D$58)),IF(I19="中",IF(J19="删除",H19*'3. 调整因子'!$D$54*'3. 调整因子'!$D$60,IF(J19="修改",H19*'3. 调整因子'!$D$54*'3. 调整因子'!$D$59,H19*'3. 调整因子'!$D$54*'3. 调整因子'!$D$58)),IF(J19="删除",H19*'3. 调整因子'!$D$55*'3. 调整因子'!$D$60,IF(J19="修改",H19*'3. 调整因子'!$D$55*'3. 调整因子'!$D$59,H19*'3. 调整因子'!$D$55*'3. 调整因子'!$D$58)))))</f>
        <v>1.66666666666666</v>
      </c>
      <c r="L19" s="90"/>
    </row>
    <row r="20" s="56" customFormat="1" spans="1:12">
      <c r="A20" s="79">
        <v>12</v>
      </c>
      <c r="B20" s="84" t="s">
        <v>38</v>
      </c>
      <c r="C20" s="84" t="s">
        <v>39</v>
      </c>
      <c r="D20" s="84" t="s">
        <v>40</v>
      </c>
      <c r="E20" s="84" t="s">
        <v>40</v>
      </c>
      <c r="F20" s="81" t="s">
        <v>59</v>
      </c>
      <c r="G20" s="82" t="s">
        <v>51</v>
      </c>
      <c r="H20" s="83">
        <f>IF(G20="ILF",'3. 调整因子'!$D$63,IF(G20="EIF",'3. 调整因子'!$D$64,IF(G20="EI",'3. 调整因子'!$D$65,IF(G20="EO",'3. 调整因子'!$D$66,IF(G20="EQ",'3. 调整因子'!$D$67,"")))))</f>
        <v>7</v>
      </c>
      <c r="I20" s="91" t="s">
        <v>43</v>
      </c>
      <c r="J20" s="91" t="s">
        <v>44</v>
      </c>
      <c r="K20" s="89">
        <f>IF(H20="","",IF(I20="高",IF(J20="删除",H20*'3. 调整因子'!$D$53*'3. 调整因子'!$D$60,IF(J20="修改",H20*'3. 调整因子'!$D$53*'3. 调整因子'!$D$59,H20*'3. 调整因子'!$D$53*'3. 调整因子'!$D$58)),IF(I20="中",IF(J20="删除",H20*'3. 调整因子'!$D$54*'3. 调整因子'!$D$60,IF(J20="修改",H20*'3. 调整因子'!$D$54*'3. 调整因子'!$D$59,H20*'3. 调整因子'!$D$54*'3. 调整因子'!$D$58)),IF(J20="删除",H20*'3. 调整因子'!$D$55*'3. 调整因子'!$D$60,IF(J20="修改",H20*'3. 调整因子'!$D$55*'3. 调整因子'!$D$59,H20*'3. 调整因子'!$D$55*'3. 调整因子'!$D$58)))))</f>
        <v>2.33333333333333</v>
      </c>
      <c r="L20" s="92"/>
    </row>
    <row r="21" s="54" customFormat="1" spans="1:12">
      <c r="A21" s="79">
        <v>13</v>
      </c>
      <c r="B21" s="80" t="s">
        <v>38</v>
      </c>
      <c r="C21" s="80" t="s">
        <v>39</v>
      </c>
      <c r="D21" s="80" t="s">
        <v>40</v>
      </c>
      <c r="E21" s="80" t="s">
        <v>40</v>
      </c>
      <c r="F21" s="81" t="s">
        <v>60</v>
      </c>
      <c r="G21" s="82" t="s">
        <v>47</v>
      </c>
      <c r="H21" s="83">
        <f>IF(G21="ILF",'3. 调整因子'!$D$63,IF(G21="EIF",'3. 调整因子'!$D$64,IF(G21="EI",'3. 调整因子'!$D$65,IF(G21="EO",'3. 调整因子'!$D$66,IF(G21="EQ",'3. 调整因子'!$D$67,"")))))</f>
        <v>5</v>
      </c>
      <c r="I21" s="88" t="s">
        <v>43</v>
      </c>
      <c r="J21" s="88" t="s">
        <v>44</v>
      </c>
      <c r="K21" s="89">
        <v>0</v>
      </c>
      <c r="L21" s="90"/>
    </row>
    <row r="22" s="54" customFormat="1" spans="1:12">
      <c r="A22" s="79">
        <v>14</v>
      </c>
      <c r="B22" s="80" t="s">
        <v>38</v>
      </c>
      <c r="C22" s="80" t="s">
        <v>39</v>
      </c>
      <c r="D22" s="80" t="s">
        <v>40</v>
      </c>
      <c r="E22" s="80" t="s">
        <v>40</v>
      </c>
      <c r="F22" s="81" t="s">
        <v>61</v>
      </c>
      <c r="G22" s="82" t="s">
        <v>47</v>
      </c>
      <c r="H22" s="83">
        <f>IF(G22="ILF",'3. 调整因子'!$D$63,IF(G22="EIF",'3. 调整因子'!$D$64,IF(G22="EI",'3. 调整因子'!$D$65,IF(G22="EO",'3. 调整因子'!$D$66,IF(G22="EQ",'3. 调整因子'!$D$67,"")))))</f>
        <v>5</v>
      </c>
      <c r="I22" s="88" t="s">
        <v>43</v>
      </c>
      <c r="J22" s="88" t="s">
        <v>44</v>
      </c>
      <c r="K22" s="89">
        <v>0</v>
      </c>
      <c r="L22" s="90"/>
    </row>
    <row r="23" s="54" customFormat="1" spans="1:12">
      <c r="A23" s="79">
        <v>15</v>
      </c>
      <c r="B23" s="80" t="s">
        <v>38</v>
      </c>
      <c r="C23" s="80" t="s">
        <v>39</v>
      </c>
      <c r="D23" s="80" t="s">
        <v>40</v>
      </c>
      <c r="E23" s="80" t="s">
        <v>40</v>
      </c>
      <c r="F23" s="81" t="s">
        <v>62</v>
      </c>
      <c r="G23" s="82" t="s">
        <v>47</v>
      </c>
      <c r="H23" s="83">
        <f>IF(G23="ILF",'3. 调整因子'!$D$63,IF(G23="EIF",'3. 调整因子'!$D$64,IF(G23="EI",'3. 调整因子'!$D$65,IF(G23="EO",'3. 调整因子'!$D$66,IF(G23="EQ",'3. 调整因子'!$D$67,"")))))</f>
        <v>5</v>
      </c>
      <c r="I23" s="88" t="s">
        <v>43</v>
      </c>
      <c r="J23" s="88" t="s">
        <v>44</v>
      </c>
      <c r="K23" s="89">
        <f>IF(H23="","",IF(I23="高",IF(J23="删除",H23*'3. 调整因子'!$D$53*'3. 调整因子'!$D$60,IF(J23="修改",H23*'3. 调整因子'!$D$53*'3. 调整因子'!$D$59,H23*'3. 调整因子'!$D$53*'3. 调整因子'!$D$58)),IF(I23="中",IF(J23="删除",H23*'3. 调整因子'!$D$54*'3. 调整因子'!$D$60,IF(J23="修改",H23*'3. 调整因子'!$D$54*'3. 调整因子'!$D$59,H23*'3. 调整因子'!$D$54*'3. 调整因子'!$D$58)),IF(J23="删除",H23*'3. 调整因子'!$D$55*'3. 调整因子'!$D$60,IF(J23="修改",H23*'3. 调整因子'!$D$55*'3. 调整因子'!$D$59,H23*'3. 调整因子'!$D$55*'3. 调整因子'!$D$58)))))</f>
        <v>1.66666666666666</v>
      </c>
      <c r="L23" s="90"/>
    </row>
    <row r="24" s="54" customFormat="1" spans="1:12">
      <c r="A24" s="79">
        <v>16</v>
      </c>
      <c r="B24" s="80" t="s">
        <v>38</v>
      </c>
      <c r="C24" s="80" t="s">
        <v>39</v>
      </c>
      <c r="D24" s="80" t="s">
        <v>40</v>
      </c>
      <c r="E24" s="80" t="s">
        <v>40</v>
      </c>
      <c r="F24" s="81" t="s">
        <v>63</v>
      </c>
      <c r="G24" s="82" t="s">
        <v>47</v>
      </c>
      <c r="H24" s="83">
        <f>IF(G24="ILF",'3. 调整因子'!$D$63,IF(G24="EIF",'3. 调整因子'!$D$64,IF(G24="EI",'3. 调整因子'!$D$65,IF(G24="EO",'3. 调整因子'!$D$66,IF(G24="EQ",'3. 调整因子'!$D$67,"")))))</f>
        <v>5</v>
      </c>
      <c r="I24" s="88" t="s">
        <v>43</v>
      </c>
      <c r="J24" s="88" t="s">
        <v>44</v>
      </c>
      <c r="K24" s="89">
        <f>IF(H24="","",IF(I24="高",IF(J24="删除",H24*'3. 调整因子'!$D$53*'3. 调整因子'!$D$60,IF(J24="修改",H24*'3. 调整因子'!$D$53*'3. 调整因子'!$D$59,H24*'3. 调整因子'!$D$53*'3. 调整因子'!$D$58)),IF(I24="中",IF(J24="删除",H24*'3. 调整因子'!$D$54*'3. 调整因子'!$D$60,IF(J24="修改",H24*'3. 调整因子'!$D$54*'3. 调整因子'!$D$59,H24*'3. 调整因子'!$D$54*'3. 调整因子'!$D$58)),IF(J24="删除",H24*'3. 调整因子'!$D$55*'3. 调整因子'!$D$60,IF(J24="修改",H24*'3. 调整因子'!$D$55*'3. 调整因子'!$D$59,H24*'3. 调整因子'!$D$55*'3. 调整因子'!$D$58)))))</f>
        <v>1.66666666666666</v>
      </c>
      <c r="L24" s="90"/>
    </row>
    <row r="25" s="54" customFormat="1" spans="1:12">
      <c r="A25" s="79">
        <v>17</v>
      </c>
      <c r="B25" s="80" t="s">
        <v>38</v>
      </c>
      <c r="C25" s="80" t="s">
        <v>39</v>
      </c>
      <c r="D25" s="80" t="s">
        <v>40</v>
      </c>
      <c r="E25" s="80" t="s">
        <v>40</v>
      </c>
      <c r="F25" s="81" t="s">
        <v>64</v>
      </c>
      <c r="G25" s="82" t="s">
        <v>47</v>
      </c>
      <c r="H25" s="83">
        <f>IF(G25="ILF",'3. 调整因子'!$D$63,IF(G25="EIF",'3. 调整因子'!$D$64,IF(G25="EI",'3. 调整因子'!$D$65,IF(G25="EO",'3. 调整因子'!$D$66,IF(G25="EQ",'3. 调整因子'!$D$67,"")))))</f>
        <v>5</v>
      </c>
      <c r="I25" s="88" t="s">
        <v>43</v>
      </c>
      <c r="J25" s="88" t="s">
        <v>44</v>
      </c>
      <c r="K25" s="89">
        <f>IF(H25="","",IF(I25="高",IF(J25="删除",H25*'3. 调整因子'!$D$53*'3. 调整因子'!$D$60,IF(J25="修改",H25*'3. 调整因子'!$D$53*'3. 调整因子'!$D$59,H25*'3. 调整因子'!$D$53*'3. 调整因子'!$D$58)),IF(I25="中",IF(J25="删除",H25*'3. 调整因子'!$D$54*'3. 调整因子'!$D$60,IF(J25="修改",H25*'3. 调整因子'!$D$54*'3. 调整因子'!$D$59,H25*'3. 调整因子'!$D$54*'3. 调整因子'!$D$58)),IF(J25="删除",H25*'3. 调整因子'!$D$55*'3. 调整因子'!$D$60,IF(J25="修改",H25*'3. 调整因子'!$D$55*'3. 调整因子'!$D$59,H25*'3. 调整因子'!$D$55*'3. 调整因子'!$D$58)))))</f>
        <v>1.66666666666666</v>
      </c>
      <c r="L25" s="90"/>
    </row>
    <row r="26" s="54" customFormat="1" spans="1:12">
      <c r="A26" s="79">
        <v>18</v>
      </c>
      <c r="B26" s="80" t="s">
        <v>38</v>
      </c>
      <c r="C26" s="80" t="s">
        <v>39</v>
      </c>
      <c r="D26" s="80" t="s">
        <v>40</v>
      </c>
      <c r="E26" s="80" t="s">
        <v>40</v>
      </c>
      <c r="F26" s="81" t="s">
        <v>65</v>
      </c>
      <c r="G26" s="82" t="s">
        <v>47</v>
      </c>
      <c r="H26" s="83">
        <f>IF(G26="ILF",'3. 调整因子'!$D$63,IF(G26="EIF",'3. 调整因子'!$D$64,IF(G26="EI",'3. 调整因子'!$D$65,IF(G26="EO",'3. 调整因子'!$D$66,IF(G26="EQ",'3. 调整因子'!$D$67,"")))))</f>
        <v>5</v>
      </c>
      <c r="I26" s="88" t="s">
        <v>43</v>
      </c>
      <c r="J26" s="88" t="s">
        <v>44</v>
      </c>
      <c r="K26" s="89">
        <f>IF(H26="","",IF(I26="高",IF(J26="删除",H26*'3. 调整因子'!$D$53*'3. 调整因子'!$D$60,IF(J26="修改",H26*'3. 调整因子'!$D$53*'3. 调整因子'!$D$59,H26*'3. 调整因子'!$D$53*'3. 调整因子'!$D$58)),IF(I26="中",IF(J26="删除",H26*'3. 调整因子'!$D$54*'3. 调整因子'!$D$60,IF(J26="修改",H26*'3. 调整因子'!$D$54*'3. 调整因子'!$D$59,H26*'3. 调整因子'!$D$54*'3. 调整因子'!$D$58)),IF(J26="删除",H26*'3. 调整因子'!$D$55*'3. 调整因子'!$D$60,IF(J26="修改",H26*'3. 调整因子'!$D$55*'3. 调整因子'!$D$59,H26*'3. 调整因子'!$D$55*'3. 调整因子'!$D$58)))))</f>
        <v>1.66666666666666</v>
      </c>
      <c r="L26" s="90"/>
    </row>
    <row r="27" spans="1:12">
      <c r="A27" s="79">
        <v>19</v>
      </c>
      <c r="B27" s="80" t="s">
        <v>38</v>
      </c>
      <c r="C27" s="80" t="s">
        <v>39</v>
      </c>
      <c r="D27" s="80" t="s">
        <v>40</v>
      </c>
      <c r="E27" s="80" t="s">
        <v>40</v>
      </c>
      <c r="F27" s="81" t="s">
        <v>66</v>
      </c>
      <c r="G27" s="82" t="s">
        <v>47</v>
      </c>
      <c r="H27" s="83">
        <f>IF(G27="ILF",'3. 调整因子'!$D$63,IF(G27="EIF",'3. 调整因子'!$D$64,IF(G27="EI",'3. 调整因子'!$D$65,IF(G27="EO",'3. 调整因子'!$D$66,IF(G27="EQ",'3. 调整因子'!$D$67,"")))))</f>
        <v>5</v>
      </c>
      <c r="I27" s="88" t="s">
        <v>43</v>
      </c>
      <c r="J27" s="88" t="s">
        <v>44</v>
      </c>
      <c r="K27" s="89">
        <f>IF(H27="","",IF(I27="高",IF(J27="删除",H27*'3. 调整因子'!$D$53*'3. 调整因子'!$D$60,IF(J27="修改",H27*'3. 调整因子'!$D$53*'3. 调整因子'!$D$59,H27*'3. 调整因子'!$D$53*'3. 调整因子'!$D$58)),IF(I27="中",IF(J27="删除",H27*'3. 调整因子'!$D$54*'3. 调整因子'!$D$60,IF(J27="修改",H27*'3. 调整因子'!$D$54*'3. 调整因子'!$D$59,H27*'3. 调整因子'!$D$54*'3. 调整因子'!$D$58)),IF(J27="删除",H27*'3. 调整因子'!$D$55*'3. 调整因子'!$D$60,IF(J27="修改",H27*'3. 调整因子'!$D$55*'3. 调整因子'!$D$59,H27*'3. 调整因子'!$D$55*'3. 调整因子'!$D$58)))))</f>
        <v>1.66666666666666</v>
      </c>
      <c r="L27" s="90"/>
    </row>
    <row r="28" s="57" customFormat="1" spans="1:12">
      <c r="A28" s="79">
        <v>20</v>
      </c>
      <c r="B28" s="80" t="s">
        <v>38</v>
      </c>
      <c r="C28" s="80" t="s">
        <v>39</v>
      </c>
      <c r="D28" s="80" t="s">
        <v>40</v>
      </c>
      <c r="E28" s="80" t="s">
        <v>40</v>
      </c>
      <c r="F28" s="81" t="s">
        <v>67</v>
      </c>
      <c r="G28" s="82" t="s">
        <v>47</v>
      </c>
      <c r="H28" s="83">
        <f>IF(G28="ILF",'3. 调整因子'!$D$63,IF(G28="EIF",'3. 调整因子'!$D$64,IF(G28="EI",'3. 调整因子'!$D$65,IF(G28="EO",'3. 调整因子'!$D$66,IF(G28="EQ",'3. 调整因子'!$D$67,"")))))</f>
        <v>5</v>
      </c>
      <c r="I28" s="88" t="s">
        <v>43</v>
      </c>
      <c r="J28" s="88" t="s">
        <v>44</v>
      </c>
      <c r="K28" s="89">
        <f>IF(H28="","",IF(I28="高",IF(J28="删除",H28*'3. 调整因子'!$D$53*'3. 调整因子'!$D$60,IF(J28="修改",H28*'3. 调整因子'!$D$53*'3. 调整因子'!$D$59,H28*'3. 调整因子'!$D$53*'3. 调整因子'!$D$58)),IF(I28="中",IF(J28="删除",H28*'3. 调整因子'!$D$54*'3. 调整因子'!$D$60,IF(J28="修改",H28*'3. 调整因子'!$D$54*'3. 调整因子'!$D$59,H28*'3. 调整因子'!$D$54*'3. 调整因子'!$D$58)),IF(J28="删除",H28*'3. 调整因子'!$D$55*'3. 调整因子'!$D$60,IF(J28="修改",H28*'3. 调整因子'!$D$55*'3. 调整因子'!$D$59,H28*'3. 调整因子'!$D$55*'3. 调整因子'!$D$58)))))</f>
        <v>1.66666666666666</v>
      </c>
      <c r="L28" s="90"/>
    </row>
    <row r="29" s="56" customFormat="1" spans="1:12">
      <c r="A29" s="79">
        <v>21</v>
      </c>
      <c r="B29" s="84" t="s">
        <v>38</v>
      </c>
      <c r="C29" s="84" t="s">
        <v>39</v>
      </c>
      <c r="D29" s="84" t="s">
        <v>40</v>
      </c>
      <c r="E29" s="84" t="s">
        <v>40</v>
      </c>
      <c r="F29" s="81" t="s">
        <v>68</v>
      </c>
      <c r="G29" s="82" t="s">
        <v>51</v>
      </c>
      <c r="H29" s="83">
        <f>IF(G29="ILF",'3. 调整因子'!$D$63,IF(G29="EIF",'3. 调整因子'!$D$64,IF(G29="EI",'3. 调整因子'!$D$65,IF(G29="EO",'3. 调整因子'!$D$66,IF(G29="EQ",'3. 调整因子'!$D$67,"")))))</f>
        <v>7</v>
      </c>
      <c r="I29" s="91" t="s">
        <v>43</v>
      </c>
      <c r="J29" s="91" t="s">
        <v>69</v>
      </c>
      <c r="K29" s="89">
        <f>IF(H29="","",IF(I29="高",IF(J29="删除",H29*'3. 调整因子'!$D$53*'3. 调整因子'!$D$60,IF(J29="修改",H29*'3. 调整因子'!$D$53*'3. 调整因子'!$D$59,H29*'3. 调整因子'!$D$53*'3. 调整因子'!$D$58)),IF(I29="中",IF(J29="删除",H29*'3. 调整因子'!$D$54*'3. 调整因子'!$D$60,IF(J29="修改",H29*'3. 调整因子'!$D$54*'3. 调整因子'!$D$59,H29*'3. 调整因子'!$D$54*'3. 调整因子'!$D$58)),IF(J29="删除",H29*'3. 调整因子'!$D$55*'3. 调整因子'!$D$60,IF(J29="修改",H29*'3. 调整因子'!$D$55*'3. 调整因子'!$D$59,H29*'3. 调整因子'!$D$55*'3. 调整因子'!$D$58)))))</f>
        <v>1.86666666666666</v>
      </c>
      <c r="L29" s="92"/>
    </row>
    <row r="30" s="56" customFormat="1" spans="1:12">
      <c r="A30" s="79">
        <v>22</v>
      </c>
      <c r="B30" s="84" t="s">
        <v>38</v>
      </c>
      <c r="C30" s="84" t="s">
        <v>39</v>
      </c>
      <c r="D30" s="84" t="s">
        <v>40</v>
      </c>
      <c r="E30" s="84" t="s">
        <v>40</v>
      </c>
      <c r="F30" s="81" t="s">
        <v>70</v>
      </c>
      <c r="G30" s="82" t="s">
        <v>51</v>
      </c>
      <c r="H30" s="83">
        <f>IF(G30="ILF",'3. 调整因子'!$D$63,IF(G30="EIF",'3. 调整因子'!$D$64,IF(G30="EI",'3. 调整因子'!$D$65,IF(G30="EO",'3. 调整因子'!$D$66,IF(G30="EQ",'3. 调整因子'!$D$67,"")))))</f>
        <v>7</v>
      </c>
      <c r="I30" s="91" t="s">
        <v>43</v>
      </c>
      <c r="J30" s="91" t="s">
        <v>44</v>
      </c>
      <c r="K30" s="89">
        <v>1</v>
      </c>
      <c r="L30" s="92"/>
    </row>
    <row r="31" s="56" customFormat="1" spans="1:12">
      <c r="A31" s="79">
        <v>23</v>
      </c>
      <c r="B31" s="84" t="s">
        <v>38</v>
      </c>
      <c r="C31" s="84" t="s">
        <v>39</v>
      </c>
      <c r="D31" s="84" t="s">
        <v>40</v>
      </c>
      <c r="E31" s="84" t="s">
        <v>40</v>
      </c>
      <c r="F31" s="81" t="s">
        <v>71</v>
      </c>
      <c r="G31" s="82" t="s">
        <v>51</v>
      </c>
      <c r="H31" s="83">
        <f>IF(G31="ILF",'3. 调整因子'!$D$63,IF(G31="EIF",'3. 调整因子'!$D$64,IF(G31="EI",'3. 调整因子'!$D$65,IF(G31="EO",'3. 调整因子'!$D$66,IF(G31="EQ",'3. 调整因子'!$D$67,"")))))</f>
        <v>7</v>
      </c>
      <c r="I31" s="91" t="s">
        <v>43</v>
      </c>
      <c r="J31" s="91" t="s">
        <v>44</v>
      </c>
      <c r="K31" s="89">
        <f>IF(H31="","",IF(I31="高",IF(J31="删除",H31*'3. 调整因子'!$D$53*'3. 调整因子'!$D$60,IF(J31="修改",H31*'3. 调整因子'!$D$53*'3. 调整因子'!$D$59,H31*'3. 调整因子'!$D$53*'3. 调整因子'!$D$58)),IF(I31="中",IF(J31="删除",H31*'3. 调整因子'!$D$54*'3. 调整因子'!$D$60,IF(J31="修改",H31*'3. 调整因子'!$D$54*'3. 调整因子'!$D$59,H31*'3. 调整因子'!$D$54*'3. 调整因子'!$D$58)),IF(J31="删除",H31*'3. 调整因子'!$D$55*'3. 调整因子'!$D$60,IF(J31="修改",H31*'3. 调整因子'!$D$55*'3. 调整因子'!$D$59,H31*'3. 调整因子'!$D$55*'3. 调整因子'!$D$58)))))</f>
        <v>2.33333333333333</v>
      </c>
      <c r="L31" s="92"/>
    </row>
    <row r="32" spans="1:12">
      <c r="A32" s="79">
        <v>24</v>
      </c>
      <c r="B32" s="80" t="s">
        <v>38</v>
      </c>
      <c r="C32" s="80" t="s">
        <v>39</v>
      </c>
      <c r="D32" s="80" t="s">
        <v>40</v>
      </c>
      <c r="E32" s="80" t="s">
        <v>40</v>
      </c>
      <c r="F32" s="85" t="s">
        <v>72</v>
      </c>
      <c r="G32" s="82" t="s">
        <v>54</v>
      </c>
      <c r="H32" s="83">
        <f>IF(G32="ILF",'3. 调整因子'!$D$63,IF(G32="EIF",'3. 调整因子'!$D$64,IF(G32="EI",'3. 调整因子'!$D$65,IF(G32="EO",'3. 调整因子'!$D$66,IF(G32="EQ",'3. 调整因子'!$D$67,"")))))</f>
        <v>4</v>
      </c>
      <c r="I32" s="88" t="s">
        <v>43</v>
      </c>
      <c r="J32" s="88" t="s">
        <v>44</v>
      </c>
      <c r="K32" s="89">
        <f>IF(H32="","",IF(I32="高",IF(J32="删除",H32*'3. 调整因子'!$D$53*'3. 调整因子'!$D$60,IF(J32="修改",H32*'3. 调整因子'!$D$53*'3. 调整因子'!$D$59,H32*'3. 调整因子'!$D$53*'3. 调整因子'!$D$58)),IF(I32="中",IF(J32="删除",H32*'3. 调整因子'!$D$54*'3. 调整因子'!$D$60,IF(J32="修改",H32*'3. 调整因子'!$D$54*'3. 调整因子'!$D$59,H32*'3. 调整因子'!$D$54*'3. 调整因子'!$D$58)),IF(J32="删除",H32*'3. 调整因子'!$D$55*'3. 调整因子'!$D$60,IF(J32="修改",H32*'3. 调整因子'!$D$55*'3. 调整因子'!$D$59,H32*'3. 调整因子'!$D$55*'3. 调整因子'!$D$58)))))</f>
        <v>1.33333333333333</v>
      </c>
      <c r="L32" s="90"/>
    </row>
    <row r="33" spans="1:12">
      <c r="A33" s="79">
        <v>25</v>
      </c>
      <c r="B33" s="80" t="s">
        <v>38</v>
      </c>
      <c r="C33" s="80" t="s">
        <v>39</v>
      </c>
      <c r="D33" s="80" t="s">
        <v>40</v>
      </c>
      <c r="E33" s="80" t="s">
        <v>40</v>
      </c>
      <c r="F33" s="85" t="s">
        <v>73</v>
      </c>
      <c r="G33" s="82" t="s">
        <v>54</v>
      </c>
      <c r="H33" s="83">
        <f>IF(G33="ILF",'3. 调整因子'!$D$63,IF(G33="EIF",'3. 调整因子'!$D$64,IF(G33="EI",'3. 调整因子'!$D$65,IF(G33="EO",'3. 调整因子'!$D$66,IF(G33="EQ",'3. 调整因子'!$D$67,"")))))</f>
        <v>4</v>
      </c>
      <c r="I33" s="88" t="s">
        <v>43</v>
      </c>
      <c r="J33" s="88" t="s">
        <v>44</v>
      </c>
      <c r="K33" s="89">
        <f>IF(H33="","",IF(I33="高",IF(J33="删除",H33*'3. 调整因子'!$D$53*'3. 调整因子'!$D$60,IF(J33="修改",H33*'3. 调整因子'!$D$53*'3. 调整因子'!$D$59,H33*'3. 调整因子'!$D$53*'3. 调整因子'!$D$58)),IF(I33="中",IF(J33="删除",H33*'3. 调整因子'!$D$54*'3. 调整因子'!$D$60,IF(J33="修改",H33*'3. 调整因子'!$D$54*'3. 调整因子'!$D$59,H33*'3. 调整因子'!$D$54*'3. 调整因子'!$D$58)),IF(J33="删除",H33*'3. 调整因子'!$D$55*'3. 调整因子'!$D$60,IF(J33="修改",H33*'3. 调整因子'!$D$55*'3. 调整因子'!$D$59,H33*'3. 调整因子'!$D$55*'3. 调整因子'!$D$58)))))</f>
        <v>1.33333333333333</v>
      </c>
      <c r="L33" s="90"/>
    </row>
    <row r="34" spans="1:12">
      <c r="A34" s="79">
        <v>26</v>
      </c>
      <c r="B34" s="80" t="s">
        <v>38</v>
      </c>
      <c r="C34" s="80" t="s">
        <v>39</v>
      </c>
      <c r="D34" s="80" t="s">
        <v>40</v>
      </c>
      <c r="E34" s="80" t="s">
        <v>40</v>
      </c>
      <c r="F34" s="85" t="s">
        <v>74</v>
      </c>
      <c r="G34" s="82" t="s">
        <v>54</v>
      </c>
      <c r="H34" s="83">
        <f>IF(G34="ILF",'3. 调整因子'!$D$63,IF(G34="EIF",'3. 调整因子'!$D$64,IF(G34="EI",'3. 调整因子'!$D$65,IF(G34="EO",'3. 调整因子'!$D$66,IF(G34="EQ",'3. 调整因子'!$D$67,"")))))</f>
        <v>4</v>
      </c>
      <c r="I34" s="88" t="s">
        <v>43</v>
      </c>
      <c r="J34" s="88" t="s">
        <v>44</v>
      </c>
      <c r="K34" s="89">
        <f>IF(H34="","",IF(I34="高",IF(J34="删除",H34*'3. 调整因子'!$D$53*'3. 调整因子'!$D$60,IF(J34="修改",H34*'3. 调整因子'!$D$53*'3. 调整因子'!$D$59,H34*'3. 调整因子'!$D$53*'3. 调整因子'!$D$58)),IF(I34="中",IF(J34="删除",H34*'3. 调整因子'!$D$54*'3. 调整因子'!$D$60,IF(J34="修改",H34*'3. 调整因子'!$D$54*'3. 调整因子'!$D$59,H34*'3. 调整因子'!$D$54*'3. 调整因子'!$D$58)),IF(J34="删除",H34*'3. 调整因子'!$D$55*'3. 调整因子'!$D$60,IF(J34="修改",H34*'3. 调整因子'!$D$55*'3. 调整因子'!$D$59,H34*'3. 调整因子'!$D$55*'3. 调整因子'!$D$58)))))</f>
        <v>1.33333333333333</v>
      </c>
      <c r="L34" s="90"/>
    </row>
    <row r="35" s="56" customFormat="1" spans="1:12">
      <c r="A35" s="79">
        <v>27</v>
      </c>
      <c r="B35" s="84" t="s">
        <v>38</v>
      </c>
      <c r="C35" s="84" t="s">
        <v>39</v>
      </c>
      <c r="D35" s="84" t="s">
        <v>40</v>
      </c>
      <c r="E35" s="84" t="s">
        <v>40</v>
      </c>
      <c r="F35" s="81" t="s">
        <v>75</v>
      </c>
      <c r="G35" s="82" t="s">
        <v>51</v>
      </c>
      <c r="H35" s="83">
        <f>IF(G35="ILF",'3. 调整因子'!$D$63,IF(G35="EIF",'3. 调整因子'!$D$64,IF(G35="EI",'3. 调整因子'!$D$65,IF(G35="EO",'3. 调整因子'!$D$66,IF(G35="EQ",'3. 调整因子'!$D$67,"")))))</f>
        <v>7</v>
      </c>
      <c r="I35" s="91" t="s">
        <v>43</v>
      </c>
      <c r="J35" s="91" t="s">
        <v>44</v>
      </c>
      <c r="K35" s="89">
        <v>1</v>
      </c>
      <c r="L35" s="92"/>
    </row>
    <row r="36" spans="1:12">
      <c r="A36" s="79">
        <v>28</v>
      </c>
      <c r="B36" s="80" t="s">
        <v>38</v>
      </c>
      <c r="C36" s="80" t="s">
        <v>39</v>
      </c>
      <c r="D36" s="80" t="s">
        <v>40</v>
      </c>
      <c r="E36" s="80" t="s">
        <v>40</v>
      </c>
      <c r="F36" s="85" t="s">
        <v>76</v>
      </c>
      <c r="G36" s="82" t="s">
        <v>47</v>
      </c>
      <c r="H36" s="83">
        <f>IF(G36="ILF",'3. 调整因子'!$D$63,IF(G36="EIF",'3. 调整因子'!$D$64,IF(G36="EI",'3. 调整因子'!$D$65,IF(G36="EO",'3. 调整因子'!$D$66,IF(G36="EQ",'3. 调整因子'!$D$67,"")))))</f>
        <v>5</v>
      </c>
      <c r="I36" s="88" t="s">
        <v>43</v>
      </c>
      <c r="J36" s="88" t="s">
        <v>44</v>
      </c>
      <c r="K36" s="89">
        <f>IF(H36="","",IF(I36="高",IF(J36="删除",H36*'3. 调整因子'!$D$53*'3. 调整因子'!$D$60,IF(J36="修改",H36*'3. 调整因子'!$D$53*'3. 调整因子'!$D$59,H36*'3. 调整因子'!$D$53*'3. 调整因子'!$D$58)),IF(I36="中",IF(J36="删除",H36*'3. 调整因子'!$D$54*'3. 调整因子'!$D$60,IF(J36="修改",H36*'3. 调整因子'!$D$54*'3. 调整因子'!$D$59,H36*'3. 调整因子'!$D$54*'3. 调整因子'!$D$58)),IF(J36="删除",H36*'3. 调整因子'!$D$55*'3. 调整因子'!$D$60,IF(J36="修改",H36*'3. 调整因子'!$D$55*'3. 调整因子'!$D$59,H36*'3. 调整因子'!$D$55*'3. 调整因子'!$D$58)))))</f>
        <v>1.66666666666666</v>
      </c>
      <c r="L36" s="90"/>
    </row>
    <row r="37" spans="1:12">
      <c r="A37" s="79">
        <v>29</v>
      </c>
      <c r="B37" s="80" t="s">
        <v>38</v>
      </c>
      <c r="C37" s="80" t="s">
        <v>39</v>
      </c>
      <c r="D37" s="80" t="s">
        <v>40</v>
      </c>
      <c r="E37" s="80" t="s">
        <v>40</v>
      </c>
      <c r="F37" s="85" t="s">
        <v>77</v>
      </c>
      <c r="G37" s="82" t="s">
        <v>54</v>
      </c>
      <c r="H37" s="83">
        <f>IF(G37="ILF",'3. 调整因子'!$D$63,IF(G37="EIF",'3. 调整因子'!$D$64,IF(G37="EI",'3. 调整因子'!$D$65,IF(G37="EO",'3. 调整因子'!$D$66,IF(G37="EQ",'3. 调整因子'!$D$67,"")))))</f>
        <v>4</v>
      </c>
      <c r="I37" s="88" t="s">
        <v>43</v>
      </c>
      <c r="J37" s="88" t="s">
        <v>44</v>
      </c>
      <c r="K37" s="89">
        <f>IF(H37="","",IF(I37="高",IF(J37="删除",H37*'3. 调整因子'!$D$53*'3. 调整因子'!$D$60,IF(J37="修改",H37*'3. 调整因子'!$D$53*'3. 调整因子'!$D$59,H37*'3. 调整因子'!$D$53*'3. 调整因子'!$D$58)),IF(I37="中",IF(J37="删除",H37*'3. 调整因子'!$D$54*'3. 调整因子'!$D$60,IF(J37="修改",H37*'3. 调整因子'!$D$54*'3. 调整因子'!$D$59,H37*'3. 调整因子'!$D$54*'3. 调整因子'!$D$58)),IF(J37="删除",H37*'3. 调整因子'!$D$55*'3. 调整因子'!$D$60,IF(J37="修改",H37*'3. 调整因子'!$D$55*'3. 调整因子'!$D$59,H37*'3. 调整因子'!$D$55*'3. 调整因子'!$D$58)))))</f>
        <v>1.33333333333333</v>
      </c>
      <c r="L37" s="90"/>
    </row>
    <row r="38" spans="1:12">
      <c r="A38" s="79">
        <v>30</v>
      </c>
      <c r="B38" s="80" t="s">
        <v>38</v>
      </c>
      <c r="C38" s="80" t="s">
        <v>39</v>
      </c>
      <c r="D38" s="80" t="s">
        <v>40</v>
      </c>
      <c r="E38" s="80" t="s">
        <v>40</v>
      </c>
      <c r="F38" s="85" t="s">
        <v>78</v>
      </c>
      <c r="G38" s="82" t="s">
        <v>54</v>
      </c>
      <c r="H38" s="83">
        <f>IF(G38="ILF",'3. 调整因子'!$D$63,IF(G38="EIF",'3. 调整因子'!$D$64,IF(G38="EI",'3. 调整因子'!$D$65,IF(G38="EO",'3. 调整因子'!$D$66,IF(G38="EQ",'3. 调整因子'!$D$67,"")))))</f>
        <v>4</v>
      </c>
      <c r="I38" s="88" t="s">
        <v>43</v>
      </c>
      <c r="J38" s="88" t="s">
        <v>44</v>
      </c>
      <c r="K38" s="89">
        <v>1</v>
      </c>
      <c r="L38" s="90"/>
    </row>
    <row r="39" spans="1:12">
      <c r="A39" s="79">
        <v>31</v>
      </c>
      <c r="B39" s="80" t="s">
        <v>38</v>
      </c>
      <c r="C39" s="80" t="s">
        <v>39</v>
      </c>
      <c r="D39" s="80" t="s">
        <v>40</v>
      </c>
      <c r="E39" s="80" t="s">
        <v>40</v>
      </c>
      <c r="F39" s="85" t="s">
        <v>79</v>
      </c>
      <c r="G39" s="82" t="s">
        <v>54</v>
      </c>
      <c r="H39" s="83">
        <f>IF(G39="ILF",'3. 调整因子'!$D$63,IF(G39="EIF",'3. 调整因子'!$D$64,IF(G39="EI",'3. 调整因子'!$D$65,IF(G39="EO",'3. 调整因子'!$D$66,IF(G39="EQ",'3. 调整因子'!$D$67,"")))))</f>
        <v>4</v>
      </c>
      <c r="I39" s="88" t="s">
        <v>43</v>
      </c>
      <c r="J39" s="88" t="s">
        <v>44</v>
      </c>
      <c r="K39" s="89">
        <v>1</v>
      </c>
      <c r="L39" s="90"/>
    </row>
    <row r="40" spans="1:12">
      <c r="A40" s="79">
        <v>32</v>
      </c>
      <c r="B40" s="80" t="s">
        <v>38</v>
      </c>
      <c r="C40" s="80" t="s">
        <v>39</v>
      </c>
      <c r="D40" s="80" t="s">
        <v>40</v>
      </c>
      <c r="E40" s="80" t="s">
        <v>40</v>
      </c>
      <c r="F40" s="85" t="s">
        <v>80</v>
      </c>
      <c r="G40" s="82" t="s">
        <v>54</v>
      </c>
      <c r="H40" s="83">
        <f>IF(G40="ILF",'3. 调整因子'!$D$63,IF(G40="EIF",'3. 调整因子'!$D$64,IF(G40="EI",'3. 调整因子'!$D$65,IF(G40="EO",'3. 调整因子'!$D$66,IF(G40="EQ",'3. 调整因子'!$D$67,"")))))</f>
        <v>4</v>
      </c>
      <c r="I40" s="88" t="s">
        <v>43</v>
      </c>
      <c r="J40" s="88" t="s">
        <v>44</v>
      </c>
      <c r="K40" s="89">
        <v>1</v>
      </c>
      <c r="L40" s="90"/>
    </row>
    <row r="41" s="56" customFormat="1" spans="1:12">
      <c r="A41" s="79">
        <v>33</v>
      </c>
      <c r="B41" s="84" t="s">
        <v>38</v>
      </c>
      <c r="C41" s="84" t="s">
        <v>39</v>
      </c>
      <c r="D41" s="84" t="s">
        <v>40</v>
      </c>
      <c r="E41" s="84" t="s">
        <v>40</v>
      </c>
      <c r="F41" s="81" t="s">
        <v>81</v>
      </c>
      <c r="G41" s="82" t="s">
        <v>51</v>
      </c>
      <c r="H41" s="83">
        <f>IF(G41="ILF",'3. 调整因子'!$D$63,IF(G41="EIF",'3. 调整因子'!$D$64,IF(G41="EI",'3. 调整因子'!$D$65,IF(G41="EO",'3. 调整因子'!$D$66,IF(G41="EQ",'3. 调整因子'!$D$67,"")))))</f>
        <v>7</v>
      </c>
      <c r="I41" s="91" t="s">
        <v>43</v>
      </c>
      <c r="J41" s="91" t="s">
        <v>44</v>
      </c>
      <c r="K41" s="89">
        <f>IF(H41="","",IF(I41="高",IF(J41="删除",H41*'3. 调整因子'!$D$53*'3. 调整因子'!$D$60,IF(J41="修改",H41*'3. 调整因子'!$D$53*'3. 调整因子'!$D$59,H41*'3. 调整因子'!$D$53*'3. 调整因子'!$D$58)),IF(I41="中",IF(J41="删除",H41*'3. 调整因子'!$D$54*'3. 调整因子'!$D$60,IF(J41="修改",H41*'3. 调整因子'!$D$54*'3. 调整因子'!$D$59,H41*'3. 调整因子'!$D$54*'3. 调整因子'!$D$58)),IF(J41="删除",H41*'3. 调整因子'!$D$55*'3. 调整因子'!$D$60,IF(J41="修改",H41*'3. 调整因子'!$D$55*'3. 调整因子'!$D$59,H41*'3. 调整因子'!$D$55*'3. 调整因子'!$D$58)))))</f>
        <v>2.33333333333333</v>
      </c>
      <c r="L41" s="92"/>
    </row>
    <row r="42" s="56" customFormat="1" spans="1:12">
      <c r="A42" s="79">
        <v>34</v>
      </c>
      <c r="B42" s="84" t="s">
        <v>38</v>
      </c>
      <c r="C42" s="84" t="s">
        <v>39</v>
      </c>
      <c r="D42" s="84" t="s">
        <v>40</v>
      </c>
      <c r="E42" s="84" t="s">
        <v>40</v>
      </c>
      <c r="F42" s="81" t="s">
        <v>82</v>
      </c>
      <c r="G42" s="82" t="s">
        <v>51</v>
      </c>
      <c r="H42" s="83">
        <f>IF(G42="ILF",'3. 调整因子'!$D$63,IF(G42="EIF",'3. 调整因子'!$D$64,IF(G42="EI",'3. 调整因子'!$D$65,IF(G42="EO",'3. 调整因子'!$D$66,IF(G42="EQ",'3. 调整因子'!$D$67,"")))))</f>
        <v>7</v>
      </c>
      <c r="I42" s="91" t="s">
        <v>43</v>
      </c>
      <c r="J42" s="91" t="s">
        <v>44</v>
      </c>
      <c r="K42" s="89">
        <f>IF(H42="","",IF(I42="高",IF(J42="删除",H42*'3. 调整因子'!$D$53*'3. 调整因子'!$D$60,IF(J42="修改",H42*'3. 调整因子'!$D$53*'3. 调整因子'!$D$59,H42*'3. 调整因子'!$D$53*'3. 调整因子'!$D$58)),IF(I42="中",IF(J42="删除",H42*'3. 调整因子'!$D$54*'3. 调整因子'!$D$60,IF(J42="修改",H42*'3. 调整因子'!$D$54*'3. 调整因子'!$D$59,H42*'3. 调整因子'!$D$54*'3. 调整因子'!$D$58)),IF(J42="删除",H42*'3. 调整因子'!$D$55*'3. 调整因子'!$D$60,IF(J42="修改",H42*'3. 调整因子'!$D$55*'3. 调整因子'!$D$59,H42*'3. 调整因子'!$D$55*'3. 调整因子'!$D$58)))))</f>
        <v>2.33333333333333</v>
      </c>
      <c r="L42" s="92"/>
    </row>
    <row r="43" spans="1:12">
      <c r="A43" s="79">
        <v>35</v>
      </c>
      <c r="B43" s="80" t="s">
        <v>38</v>
      </c>
      <c r="C43" s="80" t="s">
        <v>39</v>
      </c>
      <c r="D43" s="80" t="s">
        <v>40</v>
      </c>
      <c r="E43" s="80" t="s">
        <v>40</v>
      </c>
      <c r="F43" s="85" t="s">
        <v>83</v>
      </c>
      <c r="G43" s="82" t="s">
        <v>47</v>
      </c>
      <c r="H43" s="83">
        <f>IF(G43="ILF",'3. 调整因子'!$D$63,IF(G43="EIF",'3. 调整因子'!$D$64,IF(G43="EI",'3. 调整因子'!$D$65,IF(G43="EO",'3. 调整因子'!$D$66,IF(G43="EQ",'3. 调整因子'!$D$67,"")))))</f>
        <v>5</v>
      </c>
      <c r="I43" s="88" t="s">
        <v>43</v>
      </c>
      <c r="J43" s="88" t="s">
        <v>44</v>
      </c>
      <c r="K43" s="89">
        <f>IF(H43="","",IF(I43="高",IF(J43="删除",H43*'3. 调整因子'!$D$53*'3. 调整因子'!$D$60,IF(J43="修改",H43*'3. 调整因子'!$D$53*'3. 调整因子'!$D$59,H43*'3. 调整因子'!$D$53*'3. 调整因子'!$D$58)),IF(I43="中",IF(J43="删除",H43*'3. 调整因子'!$D$54*'3. 调整因子'!$D$60,IF(J43="修改",H43*'3. 调整因子'!$D$54*'3. 调整因子'!$D$59,H43*'3. 调整因子'!$D$54*'3. 调整因子'!$D$58)),IF(J43="删除",H43*'3. 调整因子'!$D$55*'3. 调整因子'!$D$60,IF(J43="修改",H43*'3. 调整因子'!$D$55*'3. 调整因子'!$D$59,H43*'3. 调整因子'!$D$55*'3. 调整因子'!$D$58)))))</f>
        <v>1.66666666666666</v>
      </c>
      <c r="L43" s="90"/>
    </row>
    <row r="44" s="56" customFormat="1" spans="1:12">
      <c r="A44" s="79">
        <v>36</v>
      </c>
      <c r="B44" s="84" t="s">
        <v>38</v>
      </c>
      <c r="C44" s="84" t="s">
        <v>39</v>
      </c>
      <c r="D44" s="84" t="s">
        <v>40</v>
      </c>
      <c r="E44" s="84" t="s">
        <v>40</v>
      </c>
      <c r="F44" s="81" t="s">
        <v>84</v>
      </c>
      <c r="G44" s="82" t="s">
        <v>51</v>
      </c>
      <c r="H44" s="83">
        <f>IF(G44="ILF",'3. 调整因子'!$D$63,IF(G44="EIF",'3. 调整因子'!$D$64,IF(G44="EI",'3. 调整因子'!$D$65,IF(G44="EO",'3. 调整因子'!$D$66,IF(G44="EQ",'3. 调整因子'!$D$67,"")))))</f>
        <v>7</v>
      </c>
      <c r="I44" s="91" t="s">
        <v>43</v>
      </c>
      <c r="J44" s="91" t="s">
        <v>44</v>
      </c>
      <c r="K44" s="89">
        <f>IF(H44="","",IF(I44="高",IF(J44="删除",H44*'3. 调整因子'!$D$53*'3. 调整因子'!$D$60,IF(J44="修改",H44*'3. 调整因子'!$D$53*'3. 调整因子'!$D$59,H44*'3. 调整因子'!$D$53*'3. 调整因子'!$D$58)),IF(I44="中",IF(J44="删除",H44*'3. 调整因子'!$D$54*'3. 调整因子'!$D$60,IF(J44="修改",H44*'3. 调整因子'!$D$54*'3. 调整因子'!$D$59,H44*'3. 调整因子'!$D$54*'3. 调整因子'!$D$58)),IF(J44="删除",H44*'3. 调整因子'!$D$55*'3. 调整因子'!$D$60,IF(J44="修改",H44*'3. 调整因子'!$D$55*'3. 调整因子'!$D$59,H44*'3. 调整因子'!$D$55*'3. 调整因子'!$D$58)))))</f>
        <v>2.33333333333333</v>
      </c>
      <c r="L44" s="92"/>
    </row>
    <row r="45" spans="1:12">
      <c r="A45" s="79">
        <v>37</v>
      </c>
      <c r="B45" s="80" t="s">
        <v>38</v>
      </c>
      <c r="C45" s="80" t="s">
        <v>39</v>
      </c>
      <c r="D45" s="80" t="s">
        <v>40</v>
      </c>
      <c r="E45" s="80" t="s">
        <v>40</v>
      </c>
      <c r="F45" s="85" t="s">
        <v>85</v>
      </c>
      <c r="G45" s="82" t="s">
        <v>47</v>
      </c>
      <c r="H45" s="83">
        <f>IF(G45="ILF",'3. 调整因子'!$D$63,IF(G45="EIF",'3. 调整因子'!$D$64,IF(G45="EI",'3. 调整因子'!$D$65,IF(G45="EO",'3. 调整因子'!$D$66,IF(G45="EQ",'3. 调整因子'!$D$67,"")))))</f>
        <v>5</v>
      </c>
      <c r="I45" s="88" t="s">
        <v>43</v>
      </c>
      <c r="J45" s="88" t="s">
        <v>44</v>
      </c>
      <c r="K45" s="89">
        <f>IF(H45="","",IF(I45="高",IF(J45="删除",H45*'3. 调整因子'!$D$53*'3. 调整因子'!$D$60,IF(J45="修改",H45*'3. 调整因子'!$D$53*'3. 调整因子'!$D$59,H45*'3. 调整因子'!$D$53*'3. 调整因子'!$D$58)),IF(I45="中",IF(J45="删除",H45*'3. 调整因子'!$D$54*'3. 调整因子'!$D$60,IF(J45="修改",H45*'3. 调整因子'!$D$54*'3. 调整因子'!$D$59,H45*'3. 调整因子'!$D$54*'3. 调整因子'!$D$58)),IF(J45="删除",H45*'3. 调整因子'!$D$55*'3. 调整因子'!$D$60,IF(J45="修改",H45*'3. 调整因子'!$D$55*'3. 调整因子'!$D$59,H45*'3. 调整因子'!$D$55*'3. 调整因子'!$D$58)))))</f>
        <v>1.66666666666666</v>
      </c>
      <c r="L45" s="90"/>
    </row>
    <row r="46" spans="1:12">
      <c r="A46" s="79">
        <v>38</v>
      </c>
      <c r="B46" s="80" t="s">
        <v>38</v>
      </c>
      <c r="C46" s="80" t="s">
        <v>39</v>
      </c>
      <c r="D46" s="80" t="s">
        <v>40</v>
      </c>
      <c r="E46" s="80" t="s">
        <v>40</v>
      </c>
      <c r="F46" s="85" t="s">
        <v>86</v>
      </c>
      <c r="G46" s="82" t="s">
        <v>47</v>
      </c>
      <c r="H46" s="83">
        <f>IF(G46="ILF",'3. 调整因子'!$D$63,IF(G46="EIF",'3. 调整因子'!$D$64,IF(G46="EI",'3. 调整因子'!$D$65,IF(G46="EO",'3. 调整因子'!$D$66,IF(G46="EQ",'3. 调整因子'!$D$67,"")))))</f>
        <v>5</v>
      </c>
      <c r="I46" s="88" t="s">
        <v>43</v>
      </c>
      <c r="J46" s="88" t="s">
        <v>44</v>
      </c>
      <c r="K46" s="89">
        <f>IF(H46="","",IF(I46="高",IF(J46="删除",H46*'3. 调整因子'!$D$53*'3. 调整因子'!$D$60,IF(J46="修改",H46*'3. 调整因子'!$D$53*'3. 调整因子'!$D$59,H46*'3. 调整因子'!$D$53*'3. 调整因子'!$D$58)),IF(I46="中",IF(J46="删除",H46*'3. 调整因子'!$D$54*'3. 调整因子'!$D$60,IF(J46="修改",H46*'3. 调整因子'!$D$54*'3. 调整因子'!$D$59,H46*'3. 调整因子'!$D$54*'3. 调整因子'!$D$58)),IF(J46="删除",H46*'3. 调整因子'!$D$55*'3. 调整因子'!$D$60,IF(J46="修改",H46*'3. 调整因子'!$D$55*'3. 调整因子'!$D$59,H46*'3. 调整因子'!$D$55*'3. 调整因子'!$D$58)))))</f>
        <v>1.66666666666666</v>
      </c>
      <c r="L46" s="90"/>
    </row>
    <row r="47" spans="1:12">
      <c r="A47" s="79">
        <v>39</v>
      </c>
      <c r="B47" s="80" t="s">
        <v>38</v>
      </c>
      <c r="C47" s="80" t="s">
        <v>39</v>
      </c>
      <c r="D47" s="80" t="s">
        <v>40</v>
      </c>
      <c r="E47" s="80" t="s">
        <v>40</v>
      </c>
      <c r="F47" s="85" t="s">
        <v>87</v>
      </c>
      <c r="G47" s="82" t="s">
        <v>47</v>
      </c>
      <c r="H47" s="83">
        <f>IF(G47="ILF",'3. 调整因子'!$D$63,IF(G47="EIF",'3. 调整因子'!$D$64,IF(G47="EI",'3. 调整因子'!$D$65,IF(G47="EO",'3. 调整因子'!$D$66,IF(G47="EQ",'3. 调整因子'!$D$67,"")))))</f>
        <v>5</v>
      </c>
      <c r="I47" s="88" t="s">
        <v>43</v>
      </c>
      <c r="J47" s="88" t="s">
        <v>44</v>
      </c>
      <c r="K47" s="89">
        <f>IF(H47="","",IF(I47="高",IF(J47="删除",H47*'3. 调整因子'!$D$53*'3. 调整因子'!$D$60,IF(J47="修改",H47*'3. 调整因子'!$D$53*'3. 调整因子'!$D$59,H47*'3. 调整因子'!$D$53*'3. 调整因子'!$D$58)),IF(I47="中",IF(J47="删除",H47*'3. 调整因子'!$D$54*'3. 调整因子'!$D$60,IF(J47="修改",H47*'3. 调整因子'!$D$54*'3. 调整因子'!$D$59,H47*'3. 调整因子'!$D$54*'3. 调整因子'!$D$58)),IF(J47="删除",H47*'3. 调整因子'!$D$55*'3. 调整因子'!$D$60,IF(J47="修改",H47*'3. 调整因子'!$D$55*'3. 调整因子'!$D$59,H47*'3. 调整因子'!$D$55*'3. 调整因子'!$D$58)))))</f>
        <v>1.66666666666666</v>
      </c>
      <c r="L47" s="90"/>
    </row>
    <row r="48" spans="1:12">
      <c r="A48" s="79">
        <v>40</v>
      </c>
      <c r="B48" s="80" t="s">
        <v>38</v>
      </c>
      <c r="C48" s="80" t="s">
        <v>39</v>
      </c>
      <c r="D48" s="80" t="s">
        <v>40</v>
      </c>
      <c r="E48" s="80" t="s">
        <v>40</v>
      </c>
      <c r="F48" s="85" t="s">
        <v>88</v>
      </c>
      <c r="G48" s="82" t="s">
        <v>47</v>
      </c>
      <c r="H48" s="83">
        <f>IF(G48="ILF",'3. 调整因子'!$D$63,IF(G48="EIF",'3. 调整因子'!$D$64,IF(G48="EI",'3. 调整因子'!$D$65,IF(G48="EO",'3. 调整因子'!$D$66,IF(G48="EQ",'3. 调整因子'!$D$67,"")))))</f>
        <v>5</v>
      </c>
      <c r="I48" s="88" t="s">
        <v>43</v>
      </c>
      <c r="J48" s="88" t="s">
        <v>44</v>
      </c>
      <c r="K48" s="89">
        <f>IF(H48="","",IF(I48="高",IF(J48="删除",H48*'3. 调整因子'!$D$53*'3. 调整因子'!$D$60,IF(J48="修改",H48*'3. 调整因子'!$D$53*'3. 调整因子'!$D$59,H48*'3. 调整因子'!$D$53*'3. 调整因子'!$D$58)),IF(I48="中",IF(J48="删除",H48*'3. 调整因子'!$D$54*'3. 调整因子'!$D$60,IF(J48="修改",H48*'3. 调整因子'!$D$54*'3. 调整因子'!$D$59,H48*'3. 调整因子'!$D$54*'3. 调整因子'!$D$58)),IF(J48="删除",H48*'3. 调整因子'!$D$55*'3. 调整因子'!$D$60,IF(J48="修改",H48*'3. 调整因子'!$D$55*'3. 调整因子'!$D$59,H48*'3. 调整因子'!$D$55*'3. 调整因子'!$D$58)))))</f>
        <v>1.66666666666666</v>
      </c>
      <c r="L48" s="90"/>
    </row>
    <row r="49" s="58" customFormat="1" spans="1:12">
      <c r="A49" s="79">
        <v>41</v>
      </c>
      <c r="B49" s="84" t="s">
        <v>38</v>
      </c>
      <c r="C49" s="84" t="s">
        <v>39</v>
      </c>
      <c r="D49" s="84" t="s">
        <v>40</v>
      </c>
      <c r="E49" s="84" t="s">
        <v>40</v>
      </c>
      <c r="F49" s="86" t="s">
        <v>89</v>
      </c>
      <c r="G49" s="82" t="s">
        <v>51</v>
      </c>
      <c r="H49" s="83">
        <f>IF(G49="ILF",'3. 调整因子'!$D$63,IF(G49="EIF",'3. 调整因子'!$D$64,IF(G49="EI",'3. 调整因子'!$D$65,IF(G49="EO",'3. 调整因子'!$D$66,IF(G49="EQ",'3. 调整因子'!$D$67,"")))))</f>
        <v>7</v>
      </c>
      <c r="I49" s="91" t="s">
        <v>43</v>
      </c>
      <c r="J49" s="91" t="s">
        <v>44</v>
      </c>
      <c r="K49" s="89">
        <v>1</v>
      </c>
      <c r="L49" s="92"/>
    </row>
    <row r="50" spans="1:12">
      <c r="A50" s="79">
        <v>42</v>
      </c>
      <c r="B50" s="80" t="s">
        <v>38</v>
      </c>
      <c r="C50" s="80" t="s">
        <v>39</v>
      </c>
      <c r="D50" s="80" t="s">
        <v>40</v>
      </c>
      <c r="E50" s="80" t="s">
        <v>40</v>
      </c>
      <c r="F50" s="85" t="s">
        <v>90</v>
      </c>
      <c r="G50" s="82" t="s">
        <v>47</v>
      </c>
      <c r="H50" s="83">
        <f>IF(G50="ILF",'3. 调整因子'!$D$63,IF(G50="EIF",'3. 调整因子'!$D$64,IF(G50="EI",'3. 调整因子'!$D$65,IF(G50="EO",'3. 调整因子'!$D$66,IF(G50="EQ",'3. 调整因子'!$D$67,"")))))</f>
        <v>5</v>
      </c>
      <c r="I50" s="88" t="s">
        <v>49</v>
      </c>
      <c r="J50" s="88" t="s">
        <v>44</v>
      </c>
      <c r="K50" s="89">
        <f>IF(H50="","",IF(I50="高",IF(J50="删除",H50*'3. 调整因子'!$D$53*'3. 调整因子'!$D$60,IF(J50="修改",H50*'3. 调整因子'!$D$53*'3. 调整因子'!$D$59,H50*'3. 调整因子'!$D$53*'3. 调整因子'!$D$58)),IF(I50="中",IF(J50="删除",H50*'3. 调整因子'!$D$54*'3. 调整因子'!$D$60,IF(J50="修改",H50*'3. 调整因子'!$D$54*'3. 调整因子'!$D$59,H50*'3. 调整因子'!$D$54*'3. 调整因子'!$D$58)),IF(J50="删除",H50*'3. 调整因子'!$D$55*'3. 调整因子'!$D$60,IF(J50="修改",H50*'3. 调整因子'!$D$55*'3. 调整因子'!$D$59,H50*'3. 调整因子'!$D$55*'3. 调整因子'!$D$58)))))</f>
        <v>3.33333333333333</v>
      </c>
      <c r="L50" s="90"/>
    </row>
    <row r="51" customFormat="1" spans="1:12">
      <c r="A51" s="79">
        <v>43</v>
      </c>
      <c r="B51" s="80" t="s">
        <v>38</v>
      </c>
      <c r="C51" s="80" t="s">
        <v>39</v>
      </c>
      <c r="D51" s="80" t="s">
        <v>40</v>
      </c>
      <c r="E51" s="80" t="s">
        <v>40</v>
      </c>
      <c r="F51" s="85" t="s">
        <v>91</v>
      </c>
      <c r="G51" s="82" t="s">
        <v>47</v>
      </c>
      <c r="H51" s="83">
        <f>IF(G51="ILF",'3. 调整因子'!$D$63,IF(G51="EIF",'3. 调整因子'!$D$64,IF(G51="EI",'3. 调整因子'!$D$65,IF(G51="EO",'3. 调整因子'!$D$66,IF(G51="EQ",'3. 调整因子'!$D$67,"")))))</f>
        <v>5</v>
      </c>
      <c r="I51" s="88" t="s">
        <v>43</v>
      </c>
      <c r="J51" s="88" t="s">
        <v>44</v>
      </c>
      <c r="K51" s="89">
        <f>IF(H51="","",IF(I51="高",IF(J51="删除",H51*'3. 调整因子'!$D$53*'3. 调整因子'!$D$60,IF(J51="修改",H51*'3. 调整因子'!$D$53*'3. 调整因子'!$D$59,H51*'3. 调整因子'!$D$53*'3. 调整因子'!$D$58)),IF(I51="中",IF(J51="删除",H51*'3. 调整因子'!$D$54*'3. 调整因子'!$D$60,IF(J51="修改",H51*'3. 调整因子'!$D$54*'3. 调整因子'!$D$59,H51*'3. 调整因子'!$D$54*'3. 调整因子'!$D$58)),IF(J51="删除",H51*'3. 调整因子'!$D$55*'3. 调整因子'!$D$60,IF(J51="修改",H51*'3. 调整因子'!$D$55*'3. 调整因子'!$D$59,H51*'3. 调整因子'!$D$55*'3. 调整因子'!$D$58)))))</f>
        <v>1.66666666666666</v>
      </c>
      <c r="L51" s="90"/>
    </row>
    <row r="52" s="58" customFormat="1" spans="1:12">
      <c r="A52" s="79">
        <v>44</v>
      </c>
      <c r="B52" s="84" t="s">
        <v>38</v>
      </c>
      <c r="C52" s="84" t="s">
        <v>39</v>
      </c>
      <c r="D52" s="84" t="s">
        <v>40</v>
      </c>
      <c r="E52" s="84" t="s">
        <v>40</v>
      </c>
      <c r="F52" s="86" t="s">
        <v>92</v>
      </c>
      <c r="G52" s="82" t="s">
        <v>51</v>
      </c>
      <c r="H52" s="83">
        <f>IF(G52="ILF",'3. 调整因子'!$D$63,IF(G52="EIF",'3. 调整因子'!$D$64,IF(G52="EI",'3. 调整因子'!$D$65,IF(G52="EO",'3. 调整因子'!$D$66,IF(G52="EQ",'3. 调整因子'!$D$67,"")))))</f>
        <v>7</v>
      </c>
      <c r="I52" s="91" t="s">
        <v>43</v>
      </c>
      <c r="J52" s="91" t="s">
        <v>44</v>
      </c>
      <c r="K52" s="89">
        <v>1</v>
      </c>
      <c r="L52" s="92"/>
    </row>
    <row r="53" s="58" customFormat="1" spans="1:12">
      <c r="A53" s="79">
        <v>45</v>
      </c>
      <c r="B53" s="84" t="s">
        <v>38</v>
      </c>
      <c r="C53" s="84" t="s">
        <v>39</v>
      </c>
      <c r="D53" s="84" t="s">
        <v>40</v>
      </c>
      <c r="E53" s="84" t="s">
        <v>40</v>
      </c>
      <c r="F53" s="86" t="s">
        <v>93</v>
      </c>
      <c r="G53" s="82" t="s">
        <v>51</v>
      </c>
      <c r="H53" s="83">
        <f>IF(G53="ILF",'3. 调整因子'!$D$63,IF(G53="EIF",'3. 调整因子'!$D$64,IF(G53="EI",'3. 调整因子'!$D$65,IF(G53="EO",'3. 调整因子'!$D$66,IF(G53="EQ",'3. 调整因子'!$D$67,"")))))</f>
        <v>7</v>
      </c>
      <c r="I53" s="91" t="s">
        <v>43</v>
      </c>
      <c r="J53" s="91" t="s">
        <v>44</v>
      </c>
      <c r="K53" s="89">
        <f>IF(H53="","",IF(I53="高",IF(J53="删除",H53*'3. 调整因子'!$D$53*'3. 调整因子'!$D$60,IF(J53="修改",H53*'3. 调整因子'!$D$53*'3. 调整因子'!$D$59,H53*'3. 调整因子'!$D$53*'3. 调整因子'!$D$58)),IF(I53="中",IF(J53="删除",H53*'3. 调整因子'!$D$54*'3. 调整因子'!$D$60,IF(J53="修改",H53*'3. 调整因子'!$D$54*'3. 调整因子'!$D$59,H53*'3. 调整因子'!$D$54*'3. 调整因子'!$D$58)),IF(J53="删除",H53*'3. 调整因子'!$D$55*'3. 调整因子'!$D$60,IF(J53="修改",H53*'3. 调整因子'!$D$55*'3. 调整因子'!$D$59,H53*'3. 调整因子'!$D$55*'3. 调整因子'!$D$58)))))</f>
        <v>2.33333333333333</v>
      </c>
      <c r="L53" s="92"/>
    </row>
    <row r="54" s="57" customFormat="1" spans="1:12">
      <c r="A54" s="79">
        <v>46</v>
      </c>
      <c r="B54" s="80" t="s">
        <v>38</v>
      </c>
      <c r="C54" s="80" t="s">
        <v>39</v>
      </c>
      <c r="D54" s="80" t="s">
        <v>40</v>
      </c>
      <c r="E54" s="80" t="s">
        <v>40</v>
      </c>
      <c r="F54" s="85" t="s">
        <v>94</v>
      </c>
      <c r="G54" s="82" t="s">
        <v>47</v>
      </c>
      <c r="H54" s="83">
        <f>IF(G54="ILF",'3. 调整因子'!$D$63,IF(G54="EIF",'3. 调整因子'!$D$64,IF(G54="EI",'3. 调整因子'!$D$65,IF(G54="EO",'3. 调整因子'!$D$66,IF(G54="EQ",'3. 调整因子'!$D$67,"")))))</f>
        <v>5</v>
      </c>
      <c r="I54" s="88" t="s">
        <v>49</v>
      </c>
      <c r="J54" s="88" t="s">
        <v>44</v>
      </c>
      <c r="K54" s="89">
        <f>IF(H54="","",IF(I54="高",IF(J54="删除",H54*'3. 调整因子'!$D$53*'3. 调整因子'!$D$60,IF(J54="修改",H54*'3. 调整因子'!$D$53*'3. 调整因子'!$D$59,H54*'3. 调整因子'!$D$53*'3. 调整因子'!$D$58)),IF(I54="中",IF(J54="删除",H54*'3. 调整因子'!$D$54*'3. 调整因子'!$D$60,IF(J54="修改",H54*'3. 调整因子'!$D$54*'3. 调整因子'!$D$59,H54*'3. 调整因子'!$D$54*'3. 调整因子'!$D$58)),IF(J54="删除",H54*'3. 调整因子'!$D$55*'3. 调整因子'!$D$60,IF(J54="修改",H54*'3. 调整因子'!$D$55*'3. 调整因子'!$D$59,H54*'3. 调整因子'!$D$55*'3. 调整因子'!$D$58)))))</f>
        <v>3.33333333333333</v>
      </c>
      <c r="L54" s="90"/>
    </row>
    <row r="55" s="57" customFormat="1" spans="1:12">
      <c r="A55" s="79">
        <v>47</v>
      </c>
      <c r="B55" s="80" t="s">
        <v>38</v>
      </c>
      <c r="C55" s="80" t="s">
        <v>39</v>
      </c>
      <c r="D55" s="80" t="s">
        <v>40</v>
      </c>
      <c r="E55" s="80" t="s">
        <v>40</v>
      </c>
      <c r="F55" s="85" t="s">
        <v>95</v>
      </c>
      <c r="G55" s="82" t="s">
        <v>47</v>
      </c>
      <c r="H55" s="83">
        <f>IF(G55="ILF",'3. 调整因子'!$D$63,IF(G55="EIF",'3. 调整因子'!$D$64,IF(G55="EI",'3. 调整因子'!$D$65,IF(G55="EO",'3. 调整因子'!$D$66,IF(G55="EQ",'3. 调整因子'!$D$67,"")))))</f>
        <v>5</v>
      </c>
      <c r="I55" s="88" t="s">
        <v>43</v>
      </c>
      <c r="J55" s="88" t="s">
        <v>44</v>
      </c>
      <c r="K55" s="89">
        <f>IF(H55="","",IF(I55="高",IF(J55="删除",H55*'3. 调整因子'!$D$53*'3. 调整因子'!$D$60,IF(J55="修改",H55*'3. 调整因子'!$D$53*'3. 调整因子'!$D$59,H55*'3. 调整因子'!$D$53*'3. 调整因子'!$D$58)),IF(I55="中",IF(J55="删除",H55*'3. 调整因子'!$D$54*'3. 调整因子'!$D$60,IF(J55="修改",H55*'3. 调整因子'!$D$54*'3. 调整因子'!$D$59,H55*'3. 调整因子'!$D$54*'3. 调整因子'!$D$58)),IF(J55="删除",H55*'3. 调整因子'!$D$55*'3. 调整因子'!$D$60,IF(J55="修改",H55*'3. 调整因子'!$D$55*'3. 调整因子'!$D$59,H55*'3. 调整因子'!$D$55*'3. 调整因子'!$D$58)))))</f>
        <v>1.66666666666666</v>
      </c>
      <c r="L55" s="90"/>
    </row>
    <row r="56" s="58" customFormat="1" spans="1:12">
      <c r="A56" s="79">
        <v>48</v>
      </c>
      <c r="B56" s="84" t="s">
        <v>38</v>
      </c>
      <c r="C56" s="84" t="s">
        <v>39</v>
      </c>
      <c r="D56" s="84" t="s">
        <v>40</v>
      </c>
      <c r="E56" s="84" t="s">
        <v>40</v>
      </c>
      <c r="F56" s="86" t="s">
        <v>96</v>
      </c>
      <c r="G56" s="82" t="s">
        <v>51</v>
      </c>
      <c r="H56" s="83">
        <f>IF(G56="ILF",'3. 调整因子'!$D$63,IF(G56="EIF",'3. 调整因子'!$D$64,IF(G56="EI",'3. 调整因子'!$D$65,IF(G56="EO",'3. 调整因子'!$D$66,IF(G56="EQ",'3. 调整因子'!$D$67,"")))))</f>
        <v>7</v>
      </c>
      <c r="I56" s="91" t="s">
        <v>43</v>
      </c>
      <c r="J56" s="91" t="s">
        <v>44</v>
      </c>
      <c r="K56" s="89">
        <f>IF(H56="","",IF(I56="高",IF(J56="删除",H56*'3. 调整因子'!$D$53*'3. 调整因子'!$D$60,IF(J56="修改",H56*'3. 调整因子'!$D$53*'3. 调整因子'!$D$59,H56*'3. 调整因子'!$D$53*'3. 调整因子'!$D$58)),IF(I56="中",IF(J56="删除",H56*'3. 调整因子'!$D$54*'3. 调整因子'!$D$60,IF(J56="修改",H56*'3. 调整因子'!$D$54*'3. 调整因子'!$D$59,H56*'3. 调整因子'!$D$54*'3. 调整因子'!$D$58)),IF(J56="删除",H56*'3. 调整因子'!$D$55*'3. 调整因子'!$D$60,IF(J56="修改",H56*'3. 调整因子'!$D$55*'3. 调整因子'!$D$59,H56*'3. 调整因子'!$D$55*'3. 调整因子'!$D$58)))))</f>
        <v>2.33333333333333</v>
      </c>
      <c r="L56" s="92"/>
    </row>
    <row r="57" s="57" customFormat="1" spans="1:12">
      <c r="A57" s="79">
        <v>49</v>
      </c>
      <c r="B57" s="80" t="s">
        <v>38</v>
      </c>
      <c r="C57" s="80" t="s">
        <v>39</v>
      </c>
      <c r="D57" s="80" t="s">
        <v>40</v>
      </c>
      <c r="E57" s="80" t="s">
        <v>40</v>
      </c>
      <c r="F57" s="81" t="s">
        <v>97</v>
      </c>
      <c r="G57" s="82" t="s">
        <v>47</v>
      </c>
      <c r="H57" s="83">
        <f>IF(G57="ILF",'3. 调整因子'!$D$63,IF(G57="EIF",'3. 调整因子'!$D$64,IF(G57="EI",'3. 调整因子'!$D$65,IF(G57="EO",'3. 调整因子'!$D$66,IF(G57="EQ",'3. 调整因子'!$D$67,"")))))</f>
        <v>5</v>
      </c>
      <c r="I57" s="88" t="s">
        <v>43</v>
      </c>
      <c r="J57" s="88" t="s">
        <v>44</v>
      </c>
      <c r="K57" s="89">
        <f>IF(H57="","",IF(I57="高",IF(J57="删除",H57*'3. 调整因子'!$D$53*'3. 调整因子'!$D$60,IF(J57="修改",H57*'3. 调整因子'!$D$53*'3. 调整因子'!$D$59,H57*'3. 调整因子'!$D$53*'3. 调整因子'!$D$58)),IF(I57="中",IF(J57="删除",H57*'3. 调整因子'!$D$54*'3. 调整因子'!$D$60,IF(J57="修改",H57*'3. 调整因子'!$D$54*'3. 调整因子'!$D$59,H57*'3. 调整因子'!$D$54*'3. 调整因子'!$D$58)),IF(J57="删除",H57*'3. 调整因子'!$D$55*'3. 调整因子'!$D$60,IF(J57="修改",H57*'3. 调整因子'!$D$55*'3. 调整因子'!$D$59,H57*'3. 调整因子'!$D$55*'3. 调整因子'!$D$58)))))</f>
        <v>1.66666666666666</v>
      </c>
      <c r="L57" s="90"/>
    </row>
    <row r="58" s="58" customFormat="1" spans="1:12">
      <c r="A58" s="79">
        <v>50</v>
      </c>
      <c r="B58" s="84" t="s">
        <v>38</v>
      </c>
      <c r="C58" s="84" t="s">
        <v>39</v>
      </c>
      <c r="D58" s="84" t="s">
        <v>40</v>
      </c>
      <c r="E58" s="84" t="s">
        <v>40</v>
      </c>
      <c r="F58" s="86" t="s">
        <v>98</v>
      </c>
      <c r="G58" s="82" t="s">
        <v>47</v>
      </c>
      <c r="H58" s="83">
        <f>IF(G58="ILF",'3. 调整因子'!$D$63,IF(G58="EIF",'3. 调整因子'!$D$64,IF(G58="EI",'3. 调整因子'!$D$65,IF(G58="EO",'3. 调整因子'!$D$66,IF(G58="EQ",'3. 调整因子'!$D$67,"")))))</f>
        <v>5</v>
      </c>
      <c r="I58" s="91" t="s">
        <v>43</v>
      </c>
      <c r="J58" s="91" t="s">
        <v>44</v>
      </c>
      <c r="K58" s="89">
        <v>1</v>
      </c>
      <c r="L58" s="92"/>
    </row>
    <row r="59" s="57" customFormat="1" spans="1:12">
      <c r="A59" s="79">
        <v>51</v>
      </c>
      <c r="B59" s="80" t="s">
        <v>38</v>
      </c>
      <c r="C59" s="80" t="s">
        <v>39</v>
      </c>
      <c r="D59" s="80" t="s">
        <v>40</v>
      </c>
      <c r="E59" s="80" t="s">
        <v>40</v>
      </c>
      <c r="F59" s="85" t="s">
        <v>99</v>
      </c>
      <c r="G59" s="82" t="s">
        <v>47</v>
      </c>
      <c r="H59" s="83">
        <f>IF(G59="ILF",'3. 调整因子'!$D$63,IF(G59="EIF",'3. 调整因子'!$D$64,IF(G59="EI",'3. 调整因子'!$D$65,IF(G59="EO",'3. 调整因子'!$D$66,IF(G59="EQ",'3. 调整因子'!$D$67,"")))))</f>
        <v>5</v>
      </c>
      <c r="I59" s="88" t="s">
        <v>43</v>
      </c>
      <c r="J59" s="88" t="s">
        <v>44</v>
      </c>
      <c r="K59" s="89">
        <f>IF(H59="","",IF(I59="高",IF(J59="删除",H59*'3. 调整因子'!$D$53*'3. 调整因子'!$D$60,IF(J59="修改",H59*'3. 调整因子'!$D$53*'3. 调整因子'!$D$59,H59*'3. 调整因子'!$D$53*'3. 调整因子'!$D$58)),IF(I59="中",IF(J59="删除",H59*'3. 调整因子'!$D$54*'3. 调整因子'!$D$60,IF(J59="修改",H59*'3. 调整因子'!$D$54*'3. 调整因子'!$D$59,H59*'3. 调整因子'!$D$54*'3. 调整因子'!$D$58)),IF(J59="删除",H59*'3. 调整因子'!$D$55*'3. 调整因子'!$D$60,IF(J59="修改",H59*'3. 调整因子'!$D$55*'3. 调整因子'!$D$59,H59*'3. 调整因子'!$D$55*'3. 调整因子'!$D$58)))))</f>
        <v>1.66666666666666</v>
      </c>
      <c r="L59" s="90"/>
    </row>
    <row r="60" s="57" customFormat="1" spans="1:12">
      <c r="A60" s="79">
        <v>52</v>
      </c>
      <c r="B60" s="80" t="s">
        <v>38</v>
      </c>
      <c r="C60" s="80" t="s">
        <v>39</v>
      </c>
      <c r="D60" s="80" t="s">
        <v>40</v>
      </c>
      <c r="E60" s="80" t="s">
        <v>40</v>
      </c>
      <c r="F60" s="85" t="s">
        <v>100</v>
      </c>
      <c r="G60" s="82" t="s">
        <v>47</v>
      </c>
      <c r="H60" s="83">
        <f>IF(G60="ILF",'3. 调整因子'!$D$63,IF(G60="EIF",'3. 调整因子'!$D$64,IF(G60="EI",'3. 调整因子'!$D$65,IF(G60="EO",'3. 调整因子'!$D$66,IF(G60="EQ",'3. 调整因子'!$D$67,"")))))</f>
        <v>5</v>
      </c>
      <c r="I60" s="88" t="s">
        <v>43</v>
      </c>
      <c r="J60" s="88" t="s">
        <v>44</v>
      </c>
      <c r="K60" s="89">
        <f>IF(H60="","",IF(I60="高",IF(J60="删除",H60*'3. 调整因子'!$D$53*'3. 调整因子'!$D$60,IF(J60="修改",H60*'3. 调整因子'!$D$53*'3. 调整因子'!$D$59,H60*'3. 调整因子'!$D$53*'3. 调整因子'!$D$58)),IF(I60="中",IF(J60="删除",H60*'3. 调整因子'!$D$54*'3. 调整因子'!$D$60,IF(J60="修改",H60*'3. 调整因子'!$D$54*'3. 调整因子'!$D$59,H60*'3. 调整因子'!$D$54*'3. 调整因子'!$D$58)),IF(J60="删除",H60*'3. 调整因子'!$D$55*'3. 调整因子'!$D$60,IF(J60="修改",H60*'3. 调整因子'!$D$55*'3. 调整因子'!$D$59,H60*'3. 调整因子'!$D$55*'3. 调整因子'!$D$58)))))</f>
        <v>1.66666666666666</v>
      </c>
      <c r="L60" s="90"/>
    </row>
    <row r="61" s="57" customFormat="1" spans="1:12">
      <c r="A61" s="79">
        <v>53</v>
      </c>
      <c r="B61" s="80" t="s">
        <v>38</v>
      </c>
      <c r="C61" s="80" t="s">
        <v>39</v>
      </c>
      <c r="D61" s="80" t="s">
        <v>40</v>
      </c>
      <c r="E61" s="80" t="s">
        <v>40</v>
      </c>
      <c r="F61" s="85" t="s">
        <v>101</v>
      </c>
      <c r="G61" s="82" t="s">
        <v>47</v>
      </c>
      <c r="H61" s="83">
        <f>IF(G61="ILF",'3. 调整因子'!$D$63,IF(G61="EIF",'3. 调整因子'!$D$64,IF(G61="EI",'3. 调整因子'!$D$65,IF(G61="EO",'3. 调整因子'!$D$66,IF(G61="EQ",'3. 调整因子'!$D$67,"")))))</f>
        <v>5</v>
      </c>
      <c r="I61" s="88" t="s">
        <v>43</v>
      </c>
      <c r="J61" s="88" t="s">
        <v>44</v>
      </c>
      <c r="K61" s="89">
        <f>IF(H61="","",IF(I61="高",IF(J61="删除",H61*'3. 调整因子'!$D$53*'3. 调整因子'!$D$60,IF(J61="修改",H61*'3. 调整因子'!$D$53*'3. 调整因子'!$D$59,H61*'3. 调整因子'!$D$53*'3. 调整因子'!$D$58)),IF(I61="中",IF(J61="删除",H61*'3. 调整因子'!$D$54*'3. 调整因子'!$D$60,IF(J61="修改",H61*'3. 调整因子'!$D$54*'3. 调整因子'!$D$59,H61*'3. 调整因子'!$D$54*'3. 调整因子'!$D$58)),IF(J61="删除",H61*'3. 调整因子'!$D$55*'3. 调整因子'!$D$60,IF(J61="修改",H61*'3. 调整因子'!$D$55*'3. 调整因子'!$D$59,H61*'3. 调整因子'!$D$55*'3. 调整因子'!$D$58)))))</f>
        <v>1.66666666666666</v>
      </c>
      <c r="L61" s="90"/>
    </row>
    <row r="62" s="57" customFormat="1" spans="1:12">
      <c r="A62" s="79">
        <v>54</v>
      </c>
      <c r="B62" s="80" t="s">
        <v>38</v>
      </c>
      <c r="C62" s="80" t="s">
        <v>39</v>
      </c>
      <c r="D62" s="80" t="s">
        <v>40</v>
      </c>
      <c r="E62" s="80" t="s">
        <v>40</v>
      </c>
      <c r="F62" s="85" t="s">
        <v>102</v>
      </c>
      <c r="G62" s="82" t="s">
        <v>47</v>
      </c>
      <c r="H62" s="83">
        <f>IF(G62="ILF",'3. 调整因子'!$D$63,IF(G62="EIF",'3. 调整因子'!$D$64,IF(G62="EI",'3. 调整因子'!$D$65,IF(G62="EO",'3. 调整因子'!$D$66,IF(G62="EQ",'3. 调整因子'!$D$67,"")))))</f>
        <v>5</v>
      </c>
      <c r="I62" s="88" t="s">
        <v>43</v>
      </c>
      <c r="J62" s="88" t="s">
        <v>44</v>
      </c>
      <c r="K62" s="89">
        <f>IF(H62="","",IF(I62="高",IF(J62="删除",H62*'3. 调整因子'!$D$53*'3. 调整因子'!$D$60,IF(J62="修改",H62*'3. 调整因子'!$D$53*'3. 调整因子'!$D$59,H62*'3. 调整因子'!$D$53*'3. 调整因子'!$D$58)),IF(I62="中",IF(J62="删除",H62*'3. 调整因子'!$D$54*'3. 调整因子'!$D$60,IF(J62="修改",H62*'3. 调整因子'!$D$54*'3. 调整因子'!$D$59,H62*'3. 调整因子'!$D$54*'3. 调整因子'!$D$58)),IF(J62="删除",H62*'3. 调整因子'!$D$55*'3. 调整因子'!$D$60,IF(J62="修改",H62*'3. 调整因子'!$D$55*'3. 调整因子'!$D$59,H62*'3. 调整因子'!$D$55*'3. 调整因子'!$D$58)))))</f>
        <v>1.66666666666666</v>
      </c>
      <c r="L62" s="90"/>
    </row>
    <row r="63" s="57" customFormat="1" spans="1:12">
      <c r="A63" s="79">
        <v>55</v>
      </c>
      <c r="B63" s="80" t="s">
        <v>38</v>
      </c>
      <c r="C63" s="80" t="s">
        <v>39</v>
      </c>
      <c r="D63" s="80" t="s">
        <v>40</v>
      </c>
      <c r="E63" s="80" t="s">
        <v>40</v>
      </c>
      <c r="F63" s="85" t="s">
        <v>103</v>
      </c>
      <c r="G63" s="82" t="s">
        <v>47</v>
      </c>
      <c r="H63" s="83">
        <f>IF(G63="ILF",'3. 调整因子'!$D$63,IF(G63="EIF",'3. 调整因子'!$D$64,IF(G63="EI",'3. 调整因子'!$D$65,IF(G63="EO",'3. 调整因子'!$D$66,IF(G63="EQ",'3. 调整因子'!$D$67,"")))))</f>
        <v>5</v>
      </c>
      <c r="I63" s="88" t="s">
        <v>43</v>
      </c>
      <c r="J63" s="88" t="s">
        <v>44</v>
      </c>
      <c r="K63" s="89">
        <v>1</v>
      </c>
      <c r="L63" s="90"/>
    </row>
    <row r="64" s="57" customFormat="1" spans="1:12">
      <c r="A64" s="79">
        <v>56</v>
      </c>
      <c r="B64" s="80" t="s">
        <v>38</v>
      </c>
      <c r="C64" s="80" t="s">
        <v>39</v>
      </c>
      <c r="D64" s="80" t="s">
        <v>40</v>
      </c>
      <c r="E64" s="80" t="s">
        <v>40</v>
      </c>
      <c r="F64" s="85" t="s">
        <v>104</v>
      </c>
      <c r="G64" s="82" t="s">
        <v>47</v>
      </c>
      <c r="H64" s="83">
        <f>IF(G64="ILF",'3. 调整因子'!$D$63,IF(G64="EIF",'3. 调整因子'!$D$64,IF(G64="EI",'3. 调整因子'!$D$65,IF(G64="EO",'3. 调整因子'!$D$66,IF(G64="EQ",'3. 调整因子'!$D$67,"")))))</f>
        <v>5</v>
      </c>
      <c r="I64" s="88" t="s">
        <v>49</v>
      </c>
      <c r="J64" s="88" t="s">
        <v>44</v>
      </c>
      <c r="K64" s="89">
        <f>IF(H64="","",IF(I64="高",IF(J64="删除",H64*'3. 调整因子'!$D$53*'3. 调整因子'!$D$60,IF(J64="修改",H64*'3. 调整因子'!$D$53*'3. 调整因子'!$D$59,H64*'3. 调整因子'!$D$53*'3. 调整因子'!$D$58)),IF(I64="中",IF(J64="删除",H64*'3. 调整因子'!$D$54*'3. 调整因子'!$D$60,IF(J64="修改",H64*'3. 调整因子'!$D$54*'3. 调整因子'!$D$59,H64*'3. 调整因子'!$D$54*'3. 调整因子'!$D$58)),IF(J64="删除",H64*'3. 调整因子'!$D$55*'3. 调整因子'!$D$60,IF(J64="修改",H64*'3. 调整因子'!$D$55*'3. 调整因子'!$D$59,H64*'3. 调整因子'!$D$55*'3. 调整因子'!$D$58)))))</f>
        <v>3.33333333333333</v>
      </c>
      <c r="L64" s="90"/>
    </row>
    <row r="65" s="57" customFormat="1" spans="1:12">
      <c r="A65" s="79">
        <v>57</v>
      </c>
      <c r="B65" s="80" t="s">
        <v>38</v>
      </c>
      <c r="C65" s="80" t="s">
        <v>39</v>
      </c>
      <c r="D65" s="80" t="s">
        <v>40</v>
      </c>
      <c r="E65" s="80" t="s">
        <v>40</v>
      </c>
      <c r="F65" s="85" t="s">
        <v>105</v>
      </c>
      <c r="G65" s="82" t="s">
        <v>47</v>
      </c>
      <c r="H65" s="83">
        <f>IF(G65="ILF",'3. 调整因子'!$D$63,IF(G65="EIF",'3. 调整因子'!$D$64,IF(G65="EI",'3. 调整因子'!$D$65,IF(G65="EO",'3. 调整因子'!$D$66,IF(G65="EQ",'3. 调整因子'!$D$67,"")))))</f>
        <v>5</v>
      </c>
      <c r="I65" s="88" t="s">
        <v>43</v>
      </c>
      <c r="J65" s="88" t="s">
        <v>44</v>
      </c>
      <c r="K65" s="89">
        <f>IF(H65="","",IF(I65="高",IF(J65="删除",H65*'3. 调整因子'!$D$53*'3. 调整因子'!$D$60,IF(J65="修改",H65*'3. 调整因子'!$D$53*'3. 调整因子'!$D$59,H65*'3. 调整因子'!$D$53*'3. 调整因子'!$D$58)),IF(I65="中",IF(J65="删除",H65*'3. 调整因子'!$D$54*'3. 调整因子'!$D$60,IF(J65="修改",H65*'3. 调整因子'!$D$54*'3. 调整因子'!$D$59,H65*'3. 调整因子'!$D$54*'3. 调整因子'!$D$58)),IF(J65="删除",H65*'3. 调整因子'!$D$55*'3. 调整因子'!$D$60,IF(J65="修改",H65*'3. 调整因子'!$D$55*'3. 调整因子'!$D$59,H65*'3. 调整因子'!$D$55*'3. 调整因子'!$D$58)))))</f>
        <v>1.66666666666666</v>
      </c>
      <c r="L65" s="90"/>
    </row>
    <row r="66" s="57" customFormat="1" spans="1:12">
      <c r="A66" s="79">
        <v>58</v>
      </c>
      <c r="B66" s="80" t="s">
        <v>38</v>
      </c>
      <c r="C66" s="80" t="s">
        <v>39</v>
      </c>
      <c r="D66" s="80" t="s">
        <v>40</v>
      </c>
      <c r="E66" s="80" t="s">
        <v>40</v>
      </c>
      <c r="F66" s="85" t="s">
        <v>106</v>
      </c>
      <c r="G66" s="82" t="s">
        <v>47</v>
      </c>
      <c r="H66" s="83">
        <f>IF(G66="ILF",'3. 调整因子'!$D$63,IF(G66="EIF",'3. 调整因子'!$D$64,IF(G66="EI",'3. 调整因子'!$D$65,IF(G66="EO",'3. 调整因子'!$D$66,IF(G66="EQ",'3. 调整因子'!$D$67,"")))))</f>
        <v>5</v>
      </c>
      <c r="I66" s="88" t="s">
        <v>43</v>
      </c>
      <c r="J66" s="88" t="s">
        <v>44</v>
      </c>
      <c r="K66" s="89">
        <v>1</v>
      </c>
      <c r="L66" s="90"/>
    </row>
    <row r="67" s="57" customFormat="1" spans="1:12">
      <c r="A67" s="79">
        <v>59</v>
      </c>
      <c r="B67" s="80" t="s">
        <v>38</v>
      </c>
      <c r="C67" s="80" t="s">
        <v>39</v>
      </c>
      <c r="D67" s="80" t="s">
        <v>40</v>
      </c>
      <c r="E67" s="80" t="s">
        <v>40</v>
      </c>
      <c r="F67" s="85" t="s">
        <v>107</v>
      </c>
      <c r="G67" s="82" t="s">
        <v>47</v>
      </c>
      <c r="H67" s="83">
        <f>IF(G67="ILF",'3. 调整因子'!$D$63,IF(G67="EIF",'3. 调整因子'!$D$64,IF(G67="EI",'3. 调整因子'!$D$65,IF(G67="EO",'3. 调整因子'!$D$66,IF(G67="EQ",'3. 调整因子'!$D$67,"")))))</f>
        <v>5</v>
      </c>
      <c r="I67" s="88" t="s">
        <v>43</v>
      </c>
      <c r="J67" s="88" t="s">
        <v>44</v>
      </c>
      <c r="K67" s="89">
        <f>IF(H67="","",IF(I67="高",IF(J67="删除",H67*'3. 调整因子'!$D$53*'3. 调整因子'!$D$60,IF(J67="修改",H67*'3. 调整因子'!$D$53*'3. 调整因子'!$D$59,H67*'3. 调整因子'!$D$53*'3. 调整因子'!$D$58)),IF(I67="中",IF(J67="删除",H67*'3. 调整因子'!$D$54*'3. 调整因子'!$D$60,IF(J67="修改",H67*'3. 调整因子'!$D$54*'3. 调整因子'!$D$59,H67*'3. 调整因子'!$D$54*'3. 调整因子'!$D$58)),IF(J67="删除",H67*'3. 调整因子'!$D$55*'3. 调整因子'!$D$60,IF(J67="修改",H67*'3. 调整因子'!$D$55*'3. 调整因子'!$D$59,H67*'3. 调整因子'!$D$55*'3. 调整因子'!$D$58)))))</f>
        <v>1.66666666666666</v>
      </c>
      <c r="L67" s="90"/>
    </row>
    <row r="68" s="57" customFormat="1" spans="1:12">
      <c r="A68" s="79">
        <v>60</v>
      </c>
      <c r="B68" s="80" t="s">
        <v>38</v>
      </c>
      <c r="C68" s="80" t="s">
        <v>39</v>
      </c>
      <c r="D68" s="80" t="s">
        <v>40</v>
      </c>
      <c r="E68" s="80" t="s">
        <v>40</v>
      </c>
      <c r="F68" s="85" t="s">
        <v>108</v>
      </c>
      <c r="G68" s="82" t="s">
        <v>47</v>
      </c>
      <c r="H68" s="83">
        <f>IF(G68="ILF",'3. 调整因子'!$D$63,IF(G68="EIF",'3. 调整因子'!$D$64,IF(G68="EI",'3. 调整因子'!$D$65,IF(G68="EO",'3. 调整因子'!$D$66,IF(G68="EQ",'3. 调整因子'!$D$67,"")))))</f>
        <v>5</v>
      </c>
      <c r="I68" s="88" t="s">
        <v>43</v>
      </c>
      <c r="J68" s="88" t="s">
        <v>44</v>
      </c>
      <c r="K68" s="89">
        <f>IF(H68="","",IF(I68="高",IF(J68="删除",H68*'3. 调整因子'!$D$53*'3. 调整因子'!$D$60,IF(J68="修改",H68*'3. 调整因子'!$D$53*'3. 调整因子'!$D$59,H68*'3. 调整因子'!$D$53*'3. 调整因子'!$D$58)),IF(I68="中",IF(J68="删除",H68*'3. 调整因子'!$D$54*'3. 调整因子'!$D$60,IF(J68="修改",H68*'3. 调整因子'!$D$54*'3. 调整因子'!$D$59,H68*'3. 调整因子'!$D$54*'3. 调整因子'!$D$58)),IF(J68="删除",H68*'3. 调整因子'!$D$55*'3. 调整因子'!$D$60,IF(J68="修改",H68*'3. 调整因子'!$D$55*'3. 调整因子'!$D$59,H68*'3. 调整因子'!$D$55*'3. 调整因子'!$D$58)))))</f>
        <v>1.66666666666666</v>
      </c>
      <c r="L68" s="90"/>
    </row>
    <row r="69" s="57" customFormat="1" spans="1:12">
      <c r="A69" s="79">
        <v>61</v>
      </c>
      <c r="B69" s="80" t="s">
        <v>38</v>
      </c>
      <c r="C69" s="80" t="s">
        <v>39</v>
      </c>
      <c r="D69" s="80" t="s">
        <v>40</v>
      </c>
      <c r="E69" s="80" t="s">
        <v>40</v>
      </c>
      <c r="F69" s="85" t="s">
        <v>109</v>
      </c>
      <c r="G69" s="82" t="s">
        <v>47</v>
      </c>
      <c r="H69" s="83">
        <f>IF(G69="ILF",'3. 调整因子'!$D$63,IF(G69="EIF",'3. 调整因子'!$D$64,IF(G69="EI",'3. 调整因子'!$D$65,IF(G69="EO",'3. 调整因子'!$D$66,IF(G69="EQ",'3. 调整因子'!$D$67,"")))))</f>
        <v>5</v>
      </c>
      <c r="I69" s="88" t="s">
        <v>43</v>
      </c>
      <c r="J69" s="88" t="s">
        <v>44</v>
      </c>
      <c r="K69" s="89">
        <f>IF(H69="","",IF(I69="高",IF(J69="删除",H69*'3. 调整因子'!$D$53*'3. 调整因子'!$D$60,IF(J69="修改",H69*'3. 调整因子'!$D$53*'3. 调整因子'!$D$59,H69*'3. 调整因子'!$D$53*'3. 调整因子'!$D$58)),IF(I69="中",IF(J69="删除",H69*'3. 调整因子'!$D$54*'3. 调整因子'!$D$60,IF(J69="修改",H69*'3. 调整因子'!$D$54*'3. 调整因子'!$D$59,H69*'3. 调整因子'!$D$54*'3. 调整因子'!$D$58)),IF(J69="删除",H69*'3. 调整因子'!$D$55*'3. 调整因子'!$D$60,IF(J69="修改",H69*'3. 调整因子'!$D$55*'3. 调整因子'!$D$59,H69*'3. 调整因子'!$D$55*'3. 调整因子'!$D$58)))))</f>
        <v>1.66666666666666</v>
      </c>
      <c r="L69" s="90"/>
    </row>
    <row r="70" s="58" customFormat="1" spans="1:12">
      <c r="A70" s="79">
        <v>62</v>
      </c>
      <c r="B70" s="84" t="s">
        <v>38</v>
      </c>
      <c r="C70" s="84" t="s">
        <v>39</v>
      </c>
      <c r="D70" s="84" t="s">
        <v>40</v>
      </c>
      <c r="E70" s="84" t="s">
        <v>40</v>
      </c>
      <c r="F70" s="86" t="s">
        <v>110</v>
      </c>
      <c r="G70" s="82" t="s">
        <v>51</v>
      </c>
      <c r="H70" s="83">
        <f>IF(G70="ILF",'3. 调整因子'!$D$63,IF(G70="EIF",'3. 调整因子'!$D$64,IF(G70="EI",'3. 调整因子'!$D$65,IF(G70="EO",'3. 调整因子'!$D$66,IF(G70="EQ",'3. 调整因子'!$D$67,"")))))</f>
        <v>7</v>
      </c>
      <c r="I70" s="91" t="s">
        <v>43</v>
      </c>
      <c r="J70" s="91" t="s">
        <v>44</v>
      </c>
      <c r="K70" s="89">
        <v>1</v>
      </c>
      <c r="L70" s="92"/>
    </row>
    <row r="71" s="55" customFormat="1" spans="1:12">
      <c r="A71" s="79">
        <v>63</v>
      </c>
      <c r="B71" s="80" t="s">
        <v>38</v>
      </c>
      <c r="C71" s="80" t="s">
        <v>39</v>
      </c>
      <c r="D71" s="80" t="s">
        <v>40</v>
      </c>
      <c r="E71" s="80" t="s">
        <v>40</v>
      </c>
      <c r="F71" s="85" t="s">
        <v>111</v>
      </c>
      <c r="G71" s="82" t="s">
        <v>54</v>
      </c>
      <c r="H71" s="83">
        <f>IF(G71="ILF",'3. 调整因子'!$D$63,IF(G71="EIF",'3. 调整因子'!$D$64,IF(G71="EI",'3. 调整因子'!$D$65,IF(G71="EO",'3. 调整因子'!$D$66,IF(G71="EQ",'3. 调整因子'!$D$67,"")))))</f>
        <v>4</v>
      </c>
      <c r="I71" s="88" t="s">
        <v>43</v>
      </c>
      <c r="J71" s="88" t="s">
        <v>69</v>
      </c>
      <c r="K71" s="89">
        <f>IF(H71="","",IF(I71="高",IF(J71="删除",H71*'3. 调整因子'!$D$53*'3. 调整因子'!$D$60,IF(J71="修改",H71*'3. 调整因子'!$D$53*'3. 调整因子'!$D$59,H71*'3. 调整因子'!$D$53*'3. 调整因子'!$D$58)),IF(I71="中",IF(J71="删除",H71*'3. 调整因子'!$D$54*'3. 调整因子'!$D$60,IF(J71="修改",H71*'3. 调整因子'!$D$54*'3. 调整因子'!$D$59,H71*'3. 调整因子'!$D$54*'3. 调整因子'!$D$58)),IF(J71="删除",H71*'3. 调整因子'!$D$55*'3. 调整因子'!$D$60,IF(J71="修改",H71*'3. 调整因子'!$D$55*'3. 调整因子'!$D$59,H71*'3. 调整因子'!$D$55*'3. 调整因子'!$D$58)))))</f>
        <v>1.06666666666667</v>
      </c>
      <c r="L71" s="90"/>
    </row>
    <row r="72" s="55" customFormat="1" spans="1:12">
      <c r="A72" s="79">
        <v>64</v>
      </c>
      <c r="B72" s="80" t="s">
        <v>38</v>
      </c>
      <c r="C72" s="80" t="s">
        <v>39</v>
      </c>
      <c r="D72" s="80" t="s">
        <v>40</v>
      </c>
      <c r="E72" s="80" t="s">
        <v>40</v>
      </c>
      <c r="F72" s="85" t="s">
        <v>112</v>
      </c>
      <c r="G72" s="82" t="s">
        <v>47</v>
      </c>
      <c r="H72" s="83">
        <f>IF(G72="ILF",'3. 调整因子'!$D$63,IF(G72="EIF",'3. 调整因子'!$D$64,IF(G72="EI",'3. 调整因子'!$D$65,IF(G72="EO",'3. 调整因子'!$D$66,IF(G72="EQ",'3. 调整因子'!$D$67,"")))))</f>
        <v>5</v>
      </c>
      <c r="I72" s="88" t="s">
        <v>43</v>
      </c>
      <c r="J72" s="88" t="s">
        <v>69</v>
      </c>
      <c r="K72" s="89">
        <f>IF(H72="","",IF(I72="高",IF(J72="删除",H72*'3. 调整因子'!$D$53*'3. 调整因子'!$D$60,IF(J72="修改",H72*'3. 调整因子'!$D$53*'3. 调整因子'!$D$59,H72*'3. 调整因子'!$D$53*'3. 调整因子'!$D$58)),IF(I72="中",IF(J72="删除",H72*'3. 调整因子'!$D$54*'3. 调整因子'!$D$60,IF(J72="修改",H72*'3. 调整因子'!$D$54*'3. 调整因子'!$D$59,H72*'3. 调整因子'!$D$54*'3. 调整因子'!$D$58)),IF(J72="删除",H72*'3. 调整因子'!$D$55*'3. 调整因子'!$D$60,IF(J72="修改",H72*'3. 调整因子'!$D$55*'3. 调整因子'!$D$59,H72*'3. 调整因子'!$D$55*'3. 调整因子'!$D$58)))))</f>
        <v>1.33333333333333</v>
      </c>
      <c r="L72" s="90"/>
    </row>
    <row r="73" s="57" customFormat="1" spans="1:12">
      <c r="A73" s="79">
        <v>65</v>
      </c>
      <c r="B73" s="80" t="s">
        <v>38</v>
      </c>
      <c r="C73" s="80" t="s">
        <v>39</v>
      </c>
      <c r="D73" s="80" t="s">
        <v>40</v>
      </c>
      <c r="E73" s="80" t="s">
        <v>40</v>
      </c>
      <c r="F73" s="85" t="s">
        <v>113</v>
      </c>
      <c r="G73" s="82" t="s">
        <v>47</v>
      </c>
      <c r="H73" s="83">
        <f>IF(G73="ILF",'3. 调整因子'!$D$63,IF(G73="EIF",'3. 调整因子'!$D$64,IF(G73="EI",'3. 调整因子'!$D$65,IF(G73="EO",'3. 调整因子'!$D$66,IF(G73="EQ",'3. 调整因子'!$D$67,"")))))</f>
        <v>5</v>
      </c>
      <c r="I73" s="88" t="s">
        <v>43</v>
      </c>
      <c r="J73" s="88" t="s">
        <v>44</v>
      </c>
      <c r="K73" s="89">
        <f>IF(H73="","",IF(I73="高",IF(J73="删除",H73*'3. 调整因子'!$D$53*'3. 调整因子'!$D$60,IF(J73="修改",H73*'3. 调整因子'!$D$53*'3. 调整因子'!$D$59,H73*'3. 调整因子'!$D$53*'3. 调整因子'!$D$58)),IF(I73="中",IF(J73="删除",H73*'3. 调整因子'!$D$54*'3. 调整因子'!$D$60,IF(J73="修改",H73*'3. 调整因子'!$D$54*'3. 调整因子'!$D$59,H73*'3. 调整因子'!$D$54*'3. 调整因子'!$D$58)),IF(J73="删除",H73*'3. 调整因子'!$D$55*'3. 调整因子'!$D$60,IF(J73="修改",H73*'3. 调整因子'!$D$55*'3. 调整因子'!$D$59,H73*'3. 调整因子'!$D$55*'3. 调整因子'!$D$58)))))</f>
        <v>1.66666666666666</v>
      </c>
      <c r="L73" s="90"/>
    </row>
    <row r="74" s="57" customFormat="1" spans="1:12">
      <c r="A74" s="79">
        <v>66</v>
      </c>
      <c r="B74" s="80" t="s">
        <v>38</v>
      </c>
      <c r="C74" s="80" t="s">
        <v>39</v>
      </c>
      <c r="D74" s="80" t="s">
        <v>40</v>
      </c>
      <c r="E74" s="80" t="s">
        <v>40</v>
      </c>
      <c r="F74" s="85" t="s">
        <v>114</v>
      </c>
      <c r="G74" s="82" t="s">
        <v>47</v>
      </c>
      <c r="H74" s="83">
        <f>IF(G74="ILF",'3. 调整因子'!$D$63,IF(G74="EIF",'3. 调整因子'!$D$64,IF(G74="EI",'3. 调整因子'!$D$65,IF(G74="EO",'3. 调整因子'!$D$66,IF(G74="EQ",'3. 调整因子'!$D$67,"")))))</f>
        <v>5</v>
      </c>
      <c r="I74" s="88" t="s">
        <v>43</v>
      </c>
      <c r="J74" s="88" t="s">
        <v>44</v>
      </c>
      <c r="K74" s="89">
        <f>IF(H74="","",IF(I74="高",IF(J74="删除",H74*'3. 调整因子'!$D$53*'3. 调整因子'!$D$60,IF(J74="修改",H74*'3. 调整因子'!$D$53*'3. 调整因子'!$D$59,H74*'3. 调整因子'!$D$53*'3. 调整因子'!$D$58)),IF(I74="中",IF(J74="删除",H74*'3. 调整因子'!$D$54*'3. 调整因子'!$D$60,IF(J74="修改",H74*'3. 调整因子'!$D$54*'3. 调整因子'!$D$59,H74*'3. 调整因子'!$D$54*'3. 调整因子'!$D$58)),IF(J74="删除",H74*'3. 调整因子'!$D$55*'3. 调整因子'!$D$60,IF(J74="修改",H74*'3. 调整因子'!$D$55*'3. 调整因子'!$D$59,H74*'3. 调整因子'!$D$55*'3. 调整因子'!$D$58)))))</f>
        <v>1.66666666666666</v>
      </c>
      <c r="L74" s="90"/>
    </row>
    <row r="75" s="57" customFormat="1" spans="1:12">
      <c r="A75" s="79">
        <v>67</v>
      </c>
      <c r="B75" s="80" t="s">
        <v>38</v>
      </c>
      <c r="C75" s="80" t="s">
        <v>39</v>
      </c>
      <c r="D75" s="80" t="s">
        <v>40</v>
      </c>
      <c r="E75" s="80" t="s">
        <v>40</v>
      </c>
      <c r="F75" s="85" t="s">
        <v>115</v>
      </c>
      <c r="G75" s="82" t="s">
        <v>47</v>
      </c>
      <c r="H75" s="83">
        <f>IF(G75="ILF",'3. 调整因子'!$D$63,IF(G75="EIF",'3. 调整因子'!$D$64,IF(G75="EI",'3. 调整因子'!$D$65,IF(G75="EO",'3. 调整因子'!$D$66,IF(G75="EQ",'3. 调整因子'!$D$67,"")))))</f>
        <v>5</v>
      </c>
      <c r="I75" s="88" t="s">
        <v>43</v>
      </c>
      <c r="J75" s="88" t="s">
        <v>44</v>
      </c>
      <c r="K75" s="89">
        <f>IF(H75="","",IF(I75="高",IF(J75="删除",H75*'3. 调整因子'!$D$53*'3. 调整因子'!$D$60,IF(J75="修改",H75*'3. 调整因子'!$D$53*'3. 调整因子'!$D$59,H75*'3. 调整因子'!$D$53*'3. 调整因子'!$D$58)),IF(I75="中",IF(J75="删除",H75*'3. 调整因子'!$D$54*'3. 调整因子'!$D$60,IF(J75="修改",H75*'3. 调整因子'!$D$54*'3. 调整因子'!$D$59,H75*'3. 调整因子'!$D$54*'3. 调整因子'!$D$58)),IF(J75="删除",H75*'3. 调整因子'!$D$55*'3. 调整因子'!$D$60,IF(J75="修改",H75*'3. 调整因子'!$D$55*'3. 调整因子'!$D$59,H75*'3. 调整因子'!$D$55*'3. 调整因子'!$D$58)))))</f>
        <v>1.66666666666666</v>
      </c>
      <c r="L75" s="90"/>
    </row>
    <row r="76" s="57" customFormat="1" spans="1:12">
      <c r="A76" s="79">
        <v>68</v>
      </c>
      <c r="B76" s="80" t="s">
        <v>38</v>
      </c>
      <c r="C76" s="80" t="s">
        <v>39</v>
      </c>
      <c r="D76" s="80" t="s">
        <v>40</v>
      </c>
      <c r="E76" s="80" t="s">
        <v>40</v>
      </c>
      <c r="F76" s="85" t="s">
        <v>116</v>
      </c>
      <c r="G76" s="82" t="s">
        <v>47</v>
      </c>
      <c r="H76" s="83">
        <f>IF(G76="ILF",'3. 调整因子'!$D$63,IF(G76="EIF",'3. 调整因子'!$D$64,IF(G76="EI",'3. 调整因子'!$D$65,IF(G76="EO",'3. 调整因子'!$D$66,IF(G76="EQ",'3. 调整因子'!$D$67,"")))))</f>
        <v>5</v>
      </c>
      <c r="I76" s="88" t="s">
        <v>43</v>
      </c>
      <c r="J76" s="88" t="s">
        <v>44</v>
      </c>
      <c r="K76" s="89">
        <v>1</v>
      </c>
      <c r="L76" s="90"/>
    </row>
    <row r="77" s="57" customFormat="1" spans="1:12">
      <c r="A77" s="79">
        <v>69</v>
      </c>
      <c r="B77" s="80" t="s">
        <v>38</v>
      </c>
      <c r="C77" s="80" t="s">
        <v>39</v>
      </c>
      <c r="D77" s="80" t="s">
        <v>40</v>
      </c>
      <c r="E77" s="80" t="s">
        <v>40</v>
      </c>
      <c r="F77" s="85" t="s">
        <v>117</v>
      </c>
      <c r="G77" s="82" t="s">
        <v>47</v>
      </c>
      <c r="H77" s="83">
        <f>IF(G77="ILF",'3. 调整因子'!$D$63,IF(G77="EIF",'3. 调整因子'!$D$64,IF(G77="EI",'3. 调整因子'!$D$65,IF(G77="EO",'3. 调整因子'!$D$66,IF(G77="EQ",'3. 调整因子'!$D$67,"")))))</f>
        <v>5</v>
      </c>
      <c r="I77" s="88" t="s">
        <v>43</v>
      </c>
      <c r="J77" s="88" t="s">
        <v>44</v>
      </c>
      <c r="K77" s="89">
        <f>IF(H77="","",IF(I77="高",IF(J77="删除",H77*'3. 调整因子'!$D$53*'3. 调整因子'!$D$60,IF(J77="修改",H77*'3. 调整因子'!$D$53*'3. 调整因子'!$D$59,H77*'3. 调整因子'!$D$53*'3. 调整因子'!$D$58)),IF(I77="中",IF(J77="删除",H77*'3. 调整因子'!$D$54*'3. 调整因子'!$D$60,IF(J77="修改",H77*'3. 调整因子'!$D$54*'3. 调整因子'!$D$59,H77*'3. 调整因子'!$D$54*'3. 调整因子'!$D$58)),IF(J77="删除",H77*'3. 调整因子'!$D$55*'3. 调整因子'!$D$60,IF(J77="修改",H77*'3. 调整因子'!$D$55*'3. 调整因子'!$D$59,H77*'3. 调整因子'!$D$55*'3. 调整因子'!$D$58)))))</f>
        <v>1.66666666666666</v>
      </c>
      <c r="L77" s="90"/>
    </row>
    <row r="78" s="57" customFormat="1" spans="1:12">
      <c r="A78" s="79">
        <v>70</v>
      </c>
      <c r="B78" s="80" t="s">
        <v>38</v>
      </c>
      <c r="C78" s="80" t="s">
        <v>39</v>
      </c>
      <c r="D78" s="80" t="s">
        <v>40</v>
      </c>
      <c r="E78" s="80" t="s">
        <v>40</v>
      </c>
      <c r="F78" s="85" t="s">
        <v>118</v>
      </c>
      <c r="G78" s="82" t="s">
        <v>47</v>
      </c>
      <c r="H78" s="83">
        <f>IF(G78="ILF",'3. 调整因子'!$D$63,IF(G78="EIF",'3. 调整因子'!$D$64,IF(G78="EI",'3. 调整因子'!$D$65,IF(G78="EO",'3. 调整因子'!$D$66,IF(G78="EQ",'3. 调整因子'!$D$67,"")))))</f>
        <v>5</v>
      </c>
      <c r="I78" s="88" t="s">
        <v>43</v>
      </c>
      <c r="J78" s="88" t="s">
        <v>44</v>
      </c>
      <c r="K78" s="89">
        <f>IF(H78="","",IF(I78="高",IF(J78="删除",H78*'3. 调整因子'!$D$53*'3. 调整因子'!$D$60,IF(J78="修改",H78*'3. 调整因子'!$D$53*'3. 调整因子'!$D$59,H78*'3. 调整因子'!$D$53*'3. 调整因子'!$D$58)),IF(I78="中",IF(J78="删除",H78*'3. 调整因子'!$D$54*'3. 调整因子'!$D$60,IF(J78="修改",H78*'3. 调整因子'!$D$54*'3. 调整因子'!$D$59,H78*'3. 调整因子'!$D$54*'3. 调整因子'!$D$58)),IF(J78="删除",H78*'3. 调整因子'!$D$55*'3. 调整因子'!$D$60,IF(J78="修改",H78*'3. 调整因子'!$D$55*'3. 调整因子'!$D$59,H78*'3. 调整因子'!$D$55*'3. 调整因子'!$D$58)))))</f>
        <v>1.66666666666666</v>
      </c>
      <c r="L78" s="90"/>
    </row>
    <row r="79" s="57" customFormat="1" spans="1:12">
      <c r="A79" s="79">
        <v>71</v>
      </c>
      <c r="B79" s="80" t="s">
        <v>38</v>
      </c>
      <c r="C79" s="80" t="s">
        <v>39</v>
      </c>
      <c r="D79" s="80" t="s">
        <v>40</v>
      </c>
      <c r="E79" s="80" t="s">
        <v>40</v>
      </c>
      <c r="F79" s="85" t="s">
        <v>119</v>
      </c>
      <c r="G79" s="82" t="s">
        <v>47</v>
      </c>
      <c r="H79" s="83">
        <f>IF(G79="ILF",'3. 调整因子'!$D$63,IF(G79="EIF",'3. 调整因子'!$D$64,IF(G79="EI",'3. 调整因子'!$D$65,IF(G79="EO",'3. 调整因子'!$D$66,IF(G79="EQ",'3. 调整因子'!$D$67,"")))))</f>
        <v>5</v>
      </c>
      <c r="I79" s="88" t="s">
        <v>43</v>
      </c>
      <c r="J79" s="88" t="s">
        <v>44</v>
      </c>
      <c r="K79" s="89">
        <f>IF(H79="","",IF(I79="高",IF(J79="删除",H79*'3. 调整因子'!$D$53*'3. 调整因子'!$D$60,IF(J79="修改",H79*'3. 调整因子'!$D$53*'3. 调整因子'!$D$59,H79*'3. 调整因子'!$D$53*'3. 调整因子'!$D$58)),IF(I79="中",IF(J79="删除",H79*'3. 调整因子'!$D$54*'3. 调整因子'!$D$60,IF(J79="修改",H79*'3. 调整因子'!$D$54*'3. 调整因子'!$D$59,H79*'3. 调整因子'!$D$54*'3. 调整因子'!$D$58)),IF(J79="删除",H79*'3. 调整因子'!$D$55*'3. 调整因子'!$D$60,IF(J79="修改",H79*'3. 调整因子'!$D$55*'3. 调整因子'!$D$59,H79*'3. 调整因子'!$D$55*'3. 调整因子'!$D$58)))))</f>
        <v>1.66666666666666</v>
      </c>
      <c r="L79" s="90"/>
    </row>
    <row r="80" s="57" customFormat="1" spans="1:12">
      <c r="A80" s="79">
        <v>72</v>
      </c>
      <c r="B80" s="80" t="s">
        <v>38</v>
      </c>
      <c r="C80" s="80" t="s">
        <v>39</v>
      </c>
      <c r="D80" s="80" t="s">
        <v>40</v>
      </c>
      <c r="E80" s="80" t="s">
        <v>40</v>
      </c>
      <c r="F80" s="85" t="s">
        <v>120</v>
      </c>
      <c r="G80" s="82" t="s">
        <v>42</v>
      </c>
      <c r="H80" s="83">
        <f>IF(G80="ILF",'3. 调整因子'!$D$63,IF(G80="EIF",'3. 调整因子'!$D$64,IF(G80="EI",'3. 调整因子'!$D$65,IF(G80="EO",'3. 调整因子'!$D$66,IF(G80="EQ",'3. 调整因子'!$D$67,"")))))</f>
        <v>4</v>
      </c>
      <c r="I80" s="88" t="s">
        <v>43</v>
      </c>
      <c r="J80" s="88" t="s">
        <v>44</v>
      </c>
      <c r="K80" s="89">
        <v>1</v>
      </c>
      <c r="L80" s="90"/>
    </row>
    <row r="81" s="57" customFormat="1" spans="1:12">
      <c r="A81" s="79">
        <v>73</v>
      </c>
      <c r="B81" s="80" t="s">
        <v>38</v>
      </c>
      <c r="C81" s="80" t="s">
        <v>39</v>
      </c>
      <c r="D81" s="80" t="s">
        <v>40</v>
      </c>
      <c r="E81" s="80" t="s">
        <v>40</v>
      </c>
      <c r="F81" s="85" t="s">
        <v>121</v>
      </c>
      <c r="G81" s="82" t="s">
        <v>47</v>
      </c>
      <c r="H81" s="83">
        <f>IF(G81="ILF",'3. 调整因子'!$D$63,IF(G81="EIF",'3. 调整因子'!$D$64,IF(G81="EI",'3. 调整因子'!$D$65,IF(G81="EO",'3. 调整因子'!$D$66,IF(G81="EQ",'3. 调整因子'!$D$67,"")))))</f>
        <v>5</v>
      </c>
      <c r="I81" s="88" t="s">
        <v>43</v>
      </c>
      <c r="J81" s="88" t="s">
        <v>44</v>
      </c>
      <c r="K81" s="89">
        <f>IF(H81="","",IF(I81="高",IF(J81="删除",H81*'3. 调整因子'!$D$53*'3. 调整因子'!$D$60,IF(J81="修改",H81*'3. 调整因子'!$D$53*'3. 调整因子'!$D$59,H81*'3. 调整因子'!$D$53*'3. 调整因子'!$D$58)),IF(I81="中",IF(J81="删除",H81*'3. 调整因子'!$D$54*'3. 调整因子'!$D$60,IF(J81="修改",H81*'3. 调整因子'!$D$54*'3. 调整因子'!$D$59,H81*'3. 调整因子'!$D$54*'3. 调整因子'!$D$58)),IF(J81="删除",H81*'3. 调整因子'!$D$55*'3. 调整因子'!$D$60,IF(J81="修改",H81*'3. 调整因子'!$D$55*'3. 调整因子'!$D$59,H81*'3. 调整因子'!$D$55*'3. 调整因子'!$D$58)))))</f>
        <v>1.66666666666666</v>
      </c>
      <c r="L81" s="90"/>
    </row>
    <row r="82" s="58" customFormat="1" spans="1:12">
      <c r="A82" s="79">
        <v>74</v>
      </c>
      <c r="B82" s="84" t="s">
        <v>38</v>
      </c>
      <c r="C82" s="84" t="s">
        <v>39</v>
      </c>
      <c r="D82" s="84" t="s">
        <v>40</v>
      </c>
      <c r="E82" s="84" t="s">
        <v>40</v>
      </c>
      <c r="F82" s="86" t="s">
        <v>122</v>
      </c>
      <c r="G82" s="82" t="s">
        <v>51</v>
      </c>
      <c r="H82" s="83">
        <f>IF(G82="ILF",'3. 调整因子'!$D$63,IF(G82="EIF",'3. 调整因子'!$D$64,IF(G82="EI",'3. 调整因子'!$D$65,IF(G82="EO",'3. 调整因子'!$D$66,IF(G82="EQ",'3. 调整因子'!$D$67,"")))))</f>
        <v>7</v>
      </c>
      <c r="I82" s="91" t="s">
        <v>43</v>
      </c>
      <c r="J82" s="91" t="s">
        <v>44</v>
      </c>
      <c r="K82" s="89">
        <f>IF(H82="","",IF(I82="高",IF(J82="删除",H82*'3. 调整因子'!$D$53*'3. 调整因子'!$D$60,IF(J82="修改",H82*'3. 调整因子'!$D$53*'3. 调整因子'!$D$59,H82*'3. 调整因子'!$D$53*'3. 调整因子'!$D$58)),IF(I82="中",IF(J82="删除",H82*'3. 调整因子'!$D$54*'3. 调整因子'!$D$60,IF(J82="修改",H82*'3. 调整因子'!$D$54*'3. 调整因子'!$D$59,H82*'3. 调整因子'!$D$54*'3. 调整因子'!$D$58)),IF(J82="删除",H82*'3. 调整因子'!$D$55*'3. 调整因子'!$D$60,IF(J82="修改",H82*'3. 调整因子'!$D$55*'3. 调整因子'!$D$59,H82*'3. 调整因子'!$D$55*'3. 调整因子'!$D$58)))))</f>
        <v>2.33333333333333</v>
      </c>
      <c r="L82" s="92"/>
    </row>
    <row r="83" s="58" customFormat="1" spans="1:12">
      <c r="A83" s="79">
        <v>75</v>
      </c>
      <c r="B83" s="84" t="s">
        <v>38</v>
      </c>
      <c r="C83" s="84" t="s">
        <v>39</v>
      </c>
      <c r="D83" s="84" t="s">
        <v>40</v>
      </c>
      <c r="E83" s="84" t="s">
        <v>40</v>
      </c>
      <c r="F83" s="84" t="s">
        <v>123</v>
      </c>
      <c r="G83" s="82" t="s">
        <v>51</v>
      </c>
      <c r="H83" s="83">
        <f>IF(G83="ILF",'3. 调整因子'!$D$63,IF(G83="EIF",'3. 调整因子'!$D$64,IF(G83="EI",'3. 调整因子'!$D$65,IF(G83="EO",'3. 调整因子'!$D$66,IF(G83="EQ",'3. 调整因子'!$D$67,"")))))</f>
        <v>7</v>
      </c>
      <c r="I83" s="91" t="s">
        <v>43</v>
      </c>
      <c r="J83" s="91" t="s">
        <v>44</v>
      </c>
      <c r="K83" s="89">
        <f>IF(H83="","",IF(I83="高",IF(J83="删除",H83*'3. 调整因子'!$D$53*'3. 调整因子'!$D$60,IF(J83="修改",H83*'3. 调整因子'!$D$53*'3. 调整因子'!$D$59,H83*'3. 调整因子'!$D$53*'3. 调整因子'!$D$58)),IF(I83="中",IF(J83="删除",H83*'3. 调整因子'!$D$54*'3. 调整因子'!$D$60,IF(J83="修改",H83*'3. 调整因子'!$D$54*'3. 调整因子'!$D$59,H83*'3. 调整因子'!$D$54*'3. 调整因子'!$D$58)),IF(J83="删除",H83*'3. 调整因子'!$D$55*'3. 调整因子'!$D$60,IF(J83="修改",H83*'3. 调整因子'!$D$55*'3. 调整因子'!$D$59,H83*'3. 调整因子'!$D$55*'3. 调整因子'!$D$58)))))</f>
        <v>2.33333333333333</v>
      </c>
      <c r="L83" s="92"/>
    </row>
    <row r="84" s="59" customFormat="1" spans="1:12">
      <c r="A84" s="79"/>
      <c r="B84" s="93" t="s">
        <v>124</v>
      </c>
      <c r="C84" s="94"/>
      <c r="D84" s="94"/>
      <c r="E84" s="94"/>
      <c r="F84" s="94"/>
      <c r="G84" s="95"/>
      <c r="H84" s="96">
        <f>SUM(H9:H83)</f>
        <v>398</v>
      </c>
      <c r="I84" s="97"/>
      <c r="J84" s="97"/>
      <c r="K84" s="96">
        <f>SUM(K9:K83)</f>
        <v>122.6</v>
      </c>
      <c r="L84" s="98"/>
    </row>
  </sheetData>
  <sheetProtection formatCells="0" formatColumns="0" formatRows="0" insertRows="0" insertHyperlinks="0" deleteRows="0" sort="0"/>
  <autoFilter ref="A7:L84" etc:filterBottomFollowUsedRange="0">
    <extLst/>
  </autoFilter>
  <mergeCells count="10">
    <mergeCell ref="A1:L1"/>
    <mergeCell ref="A3:B3"/>
    <mergeCell ref="D3:L3"/>
    <mergeCell ref="A4:B4"/>
    <mergeCell ref="D4:L4"/>
    <mergeCell ref="A5:B5"/>
    <mergeCell ref="D5:L5"/>
    <mergeCell ref="A6:L6"/>
    <mergeCell ref="B84:G84"/>
    <mergeCell ref="I84:J84"/>
  </mergeCells>
  <conditionalFormatting sqref="F12">
    <cfRule type="duplicateValues" dxfId="0" priority="14"/>
  </conditionalFormatting>
  <conditionalFormatting sqref="F13">
    <cfRule type="duplicateValues" dxfId="0" priority="15"/>
  </conditionalFormatting>
  <conditionalFormatting sqref="F17">
    <cfRule type="duplicateValues" dxfId="0" priority="13"/>
  </conditionalFormatting>
  <conditionalFormatting sqref="F18">
    <cfRule type="duplicateValues" dxfId="0" priority="9"/>
  </conditionalFormatting>
  <conditionalFormatting sqref="F20">
    <cfRule type="duplicateValues" dxfId="0" priority="10"/>
  </conditionalFormatting>
  <conditionalFormatting sqref="F23">
    <cfRule type="duplicateValues" dxfId="0" priority="17"/>
  </conditionalFormatting>
  <conditionalFormatting sqref="F26">
    <cfRule type="duplicateValues" dxfId="0" priority="16"/>
  </conditionalFormatting>
  <conditionalFormatting sqref="F29">
    <cfRule type="duplicateValues" dxfId="0" priority="12"/>
  </conditionalFormatting>
  <conditionalFormatting sqref="F35">
    <cfRule type="duplicateValues" dxfId="0" priority="8"/>
  </conditionalFormatting>
  <conditionalFormatting sqref="F39">
    <cfRule type="duplicateValues" dxfId="0" priority="1"/>
  </conditionalFormatting>
  <conditionalFormatting sqref="F41">
    <cfRule type="duplicateValues" dxfId="0" priority="6"/>
  </conditionalFormatting>
  <conditionalFormatting sqref="F42">
    <cfRule type="duplicateValues" dxfId="0" priority="7"/>
  </conditionalFormatting>
  <conditionalFormatting sqref="F44">
    <cfRule type="duplicateValues" dxfId="0" priority="5"/>
  </conditionalFormatting>
  <conditionalFormatting sqref="F49">
    <cfRule type="duplicateValues" dxfId="0" priority="4"/>
  </conditionalFormatting>
  <conditionalFormatting sqref="F51">
    <cfRule type="duplicateValues" dxfId="0" priority="3"/>
  </conditionalFormatting>
  <conditionalFormatting sqref="F71">
    <cfRule type="duplicateValues" dxfId="0" priority="2"/>
  </conditionalFormatting>
  <conditionalFormatting sqref="F9:F11 F14:F16 F19 F24:F25 F27:F28 F30:F34 F36:F38 F40 F21:F22 F72:F83 F52:F70 F50 F45:F48 F43">
    <cfRule type="duplicateValues" dxfId="0" priority="18"/>
  </conditionalFormatting>
  <dataValidations count="4">
    <dataValidation type="list" allowBlank="1" showInputMessage="1" showErrorMessage="1" sqref="C3">
      <formula1>"软件开发计价模型"</formula1>
    </dataValidation>
    <dataValidation type="list" allowBlank="1" showInputMessage="1" showErrorMessage="1" sqref="G9:G83">
      <formula1>"ILF,EIF,EI,EO,EQ"</formula1>
    </dataValidation>
    <dataValidation type="list" allowBlank="1" showInputMessage="1" showErrorMessage="1" sqref="I9:I83">
      <formula1>"高,中,低"</formula1>
    </dataValidation>
    <dataValidation type="list" allowBlank="1" showInputMessage="1" showErrorMessage="1" sqref="J9:J83">
      <formula1>"新增,修改,删除"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FF00"/>
  </sheetPr>
  <dimension ref="A1:I97"/>
  <sheetViews>
    <sheetView workbookViewId="0">
      <selection activeCell="E14" sqref="E14"/>
    </sheetView>
  </sheetViews>
  <sheetFormatPr defaultColWidth="9" defaultRowHeight="12.75"/>
  <cols>
    <col min="1" max="1" customWidth="true" style="24" width="5.17699115044248" collapsed="false"/>
    <col min="2" max="2" customWidth="true" style="24" width="11.8141592920354" collapsed="false"/>
    <col min="3" max="3" customWidth="true" style="25" width="84.4513274336283" collapsed="false"/>
    <col min="4" max="4" customWidth="true" style="23" width="11.4513274336283" collapsed="false"/>
    <col min="5" max="5" customWidth="true" style="26" width="32.5575221238938" collapsed="false"/>
    <col min="6" max="6" customWidth="true" style="25" width="6.45132743362832" collapsed="false"/>
    <col min="7" max="7" customWidth="true" style="25" width="10.6283185840708" collapsed="false"/>
    <col min="8" max="16384" style="25" width="9.0" collapsed="false"/>
  </cols>
  <sheetData>
    <row r="1" s="3" customFormat="1" ht="40" customHeight="1" spans="1:9">
      <c r="A1" s="27" t="s">
        <v>125</v>
      </c>
      <c r="B1" s="27"/>
      <c r="C1" s="27"/>
      <c r="D1" s="27"/>
      <c r="E1" s="28"/>
      <c r="F1" s="28"/>
      <c r="G1" s="28"/>
      <c r="H1" s="28"/>
      <c r="I1" s="28"/>
    </row>
    <row r="2" spans="1:5">
      <c r="A2" s="29" t="s">
        <v>126</v>
      </c>
      <c r="B2" s="29"/>
      <c r="C2" s="30" t="s">
        <v>127</v>
      </c>
      <c r="D2" s="31">
        <f>IF('3. 调整因子'!C2='3. 调整因子'!B36,'3. 调整因子'!D36,IF('3. 调整因子'!C2='3. 调整因子'!B37,'3. 调整因子'!D37,IF('3. 调整因子'!C2='3. 调整因子'!B38,'3. 调整因子'!D38,IF('3. 调整因子'!C2='3. 调整因子'!B39,'3. 调整因子'!D39,0))))</f>
        <v>1.21</v>
      </c>
      <c r="E2" s="25"/>
    </row>
    <row r="3" spans="1:5">
      <c r="A3" s="29" t="s">
        <v>128</v>
      </c>
      <c r="B3" s="29"/>
      <c r="C3" s="30" t="s">
        <v>129</v>
      </c>
      <c r="D3" s="32">
        <f>IF(C3=B12,D12,IF(C3=B13,D13,IF(C3=B14,D14,IF(C3=B15,D15,IF(C3=B16,D16,IF(C3=B17,D17,IF(C3=B18,D18,IF(C3=B19,D19,0))))))))</f>
        <v>1</v>
      </c>
      <c r="E3" s="25"/>
    </row>
    <row r="4" spans="1:5">
      <c r="A4" s="29" t="s">
        <v>130</v>
      </c>
      <c r="B4" s="33" t="s">
        <v>131</v>
      </c>
      <c r="C4" s="34" t="s">
        <v>132</v>
      </c>
      <c r="D4" s="35">
        <f>IF(C4=C22,D22,IF(C4=C23,D23,IF(C4=C24,D24,-10)))</f>
        <v>-1</v>
      </c>
      <c r="E4" s="36"/>
    </row>
    <row r="5" spans="1:5">
      <c r="A5" s="29"/>
      <c r="B5" s="33" t="s">
        <v>133</v>
      </c>
      <c r="C5" s="34" t="s">
        <v>134</v>
      </c>
      <c r="D5" s="35">
        <f>IF(C5=C25,D25,IF(C5=C26,D26,IF(C5=C27,D27,-10)))</f>
        <v>-1</v>
      </c>
      <c r="E5" s="36"/>
    </row>
    <row r="6" spans="1:5">
      <c r="A6" s="29"/>
      <c r="B6" s="33" t="s">
        <v>135</v>
      </c>
      <c r="C6" s="34" t="s">
        <v>136</v>
      </c>
      <c r="D6" s="35">
        <f>IF(C6=C28,D28,IF(C6=C29,D29,IF(C6=C30,D30,-10)))</f>
        <v>-1</v>
      </c>
      <c r="E6" s="36"/>
    </row>
    <row r="7" spans="1:5">
      <c r="A7" s="29"/>
      <c r="B7" s="33" t="s">
        <v>137</v>
      </c>
      <c r="C7" s="34" t="s">
        <v>138</v>
      </c>
      <c r="D7" s="35">
        <f>IF(C7=C31,D31,IF(C7=C32,D32,IF(C7=C33,D33,-10)))</f>
        <v>-1</v>
      </c>
      <c r="E7" s="36"/>
    </row>
    <row r="8" spans="1:5">
      <c r="A8" s="29" t="s">
        <v>139</v>
      </c>
      <c r="B8" s="29"/>
      <c r="C8" s="37" t="s">
        <v>140</v>
      </c>
      <c r="D8" s="32">
        <f>IF(C8=B43,D43,IF(C8=B44,D44,IF(C8=B45,D45,0)))</f>
        <v>1</v>
      </c>
      <c r="E8" s="25"/>
    </row>
    <row r="9" spans="1:5">
      <c r="A9" s="29" t="s">
        <v>141</v>
      </c>
      <c r="B9" s="29"/>
      <c r="C9" s="34" t="s">
        <v>142</v>
      </c>
      <c r="D9" s="32">
        <f>IF(C9=B48,D48,IF(C9=B49,D49,IF(C9=B50,D50,0)))</f>
        <v>0.8</v>
      </c>
      <c r="E9" s="25"/>
    </row>
    <row r="10" spans="5:5">
      <c r="E10" s="25"/>
    </row>
    <row r="11" spans="2:5">
      <c r="B11" s="38" t="s">
        <v>128</v>
      </c>
      <c r="C11" s="38" t="s">
        <v>143</v>
      </c>
      <c r="D11" s="38" t="s">
        <v>144</v>
      </c>
      <c r="E11" s="25"/>
    </row>
    <row r="12" spans="2:5">
      <c r="B12" s="39" t="s">
        <v>129</v>
      </c>
      <c r="C12" s="40" t="s">
        <v>145</v>
      </c>
      <c r="D12" s="41">
        <v>1</v>
      </c>
      <c r="E12" s="25"/>
    </row>
    <row r="13" spans="2:5">
      <c r="B13" s="39" t="s">
        <v>146</v>
      </c>
      <c r="C13" s="40" t="s">
        <v>147</v>
      </c>
      <c r="D13" s="41">
        <v>1.2</v>
      </c>
      <c r="E13" s="25"/>
    </row>
    <row r="14" spans="2:5">
      <c r="B14" s="39" t="s">
        <v>148</v>
      </c>
      <c r="C14" s="40" t="s">
        <v>149</v>
      </c>
      <c r="D14" s="41">
        <v>1.2</v>
      </c>
      <c r="E14" s="25"/>
    </row>
    <row r="15" spans="2:5">
      <c r="B15" s="39" t="s">
        <v>150</v>
      </c>
      <c r="C15" s="40" t="s">
        <v>151</v>
      </c>
      <c r="D15" s="41">
        <v>1.5</v>
      </c>
      <c r="E15" s="25"/>
    </row>
    <row r="16" spans="2:5">
      <c r="B16" s="39" t="s">
        <v>152</v>
      </c>
      <c r="C16" s="40" t="s">
        <v>153</v>
      </c>
      <c r="D16" s="41">
        <v>1.7</v>
      </c>
      <c r="E16" s="25"/>
    </row>
    <row r="17" ht="25.5" spans="2:5">
      <c r="B17" s="39" t="s">
        <v>154</v>
      </c>
      <c r="C17" s="40" t="s">
        <v>155</v>
      </c>
      <c r="D17" s="41">
        <v>1.7</v>
      </c>
      <c r="E17" s="25"/>
    </row>
    <row r="18" spans="2:5">
      <c r="B18" s="39" t="s">
        <v>156</v>
      </c>
      <c r="C18" s="40" t="s">
        <v>157</v>
      </c>
      <c r="D18" s="41">
        <v>1.9</v>
      </c>
      <c r="E18" s="25"/>
    </row>
    <row r="19" spans="2:5">
      <c r="B19" s="39" t="s">
        <v>158</v>
      </c>
      <c r="C19" s="40" t="s">
        <v>159</v>
      </c>
      <c r="D19" s="41">
        <v>2</v>
      </c>
      <c r="E19" s="25"/>
    </row>
    <row r="20" spans="5:5">
      <c r="E20" s="25"/>
    </row>
    <row r="21" spans="2:5">
      <c r="B21" s="38" t="s">
        <v>144</v>
      </c>
      <c r="C21" s="38" t="s">
        <v>160</v>
      </c>
      <c r="D21" s="38" t="s">
        <v>144</v>
      </c>
      <c r="E21" s="25"/>
    </row>
    <row r="22" spans="2:5">
      <c r="B22" s="39" t="s">
        <v>131</v>
      </c>
      <c r="C22" s="40" t="s">
        <v>132</v>
      </c>
      <c r="D22" s="39">
        <v>-1</v>
      </c>
      <c r="E22" s="25"/>
    </row>
    <row r="23" spans="2:5">
      <c r="B23" s="39"/>
      <c r="C23" s="40" t="s">
        <v>161</v>
      </c>
      <c r="D23" s="39">
        <v>0</v>
      </c>
      <c r="E23" s="25"/>
    </row>
    <row r="24" spans="2:5">
      <c r="B24" s="39"/>
      <c r="C24" s="40" t="s">
        <v>162</v>
      </c>
      <c r="D24" s="39">
        <v>1</v>
      </c>
      <c r="E24" s="25"/>
    </row>
    <row r="25" spans="2:5">
      <c r="B25" s="39" t="s">
        <v>133</v>
      </c>
      <c r="C25" s="40" t="s">
        <v>134</v>
      </c>
      <c r="D25" s="39">
        <v>-1</v>
      </c>
      <c r="E25" s="25"/>
    </row>
    <row r="26" spans="2:5">
      <c r="B26" s="39"/>
      <c r="C26" s="40" t="s">
        <v>163</v>
      </c>
      <c r="D26" s="39">
        <v>0</v>
      </c>
      <c r="E26" s="25"/>
    </row>
    <row r="27" spans="2:5">
      <c r="B27" s="39"/>
      <c r="C27" s="40" t="s">
        <v>164</v>
      </c>
      <c r="D27" s="39">
        <v>1</v>
      </c>
      <c r="E27" s="25"/>
    </row>
    <row r="28" spans="2:5">
      <c r="B28" s="39" t="s">
        <v>135</v>
      </c>
      <c r="C28" s="40" t="s">
        <v>136</v>
      </c>
      <c r="D28" s="39">
        <v>-1</v>
      </c>
      <c r="E28" s="25"/>
    </row>
    <row r="29" spans="2:5">
      <c r="B29" s="39"/>
      <c r="C29" s="40" t="s">
        <v>165</v>
      </c>
      <c r="D29" s="39">
        <v>0</v>
      </c>
      <c r="E29" s="25"/>
    </row>
    <row r="30" spans="2:5">
      <c r="B30" s="39"/>
      <c r="C30" s="40" t="s">
        <v>166</v>
      </c>
      <c r="D30" s="39">
        <v>1</v>
      </c>
      <c r="E30" s="25"/>
    </row>
    <row r="31" spans="2:5">
      <c r="B31" s="39" t="s">
        <v>137</v>
      </c>
      <c r="C31" s="40" t="s">
        <v>138</v>
      </c>
      <c r="D31" s="39">
        <v>-1</v>
      </c>
      <c r="E31" s="25"/>
    </row>
    <row r="32" spans="2:5">
      <c r="B32" s="39"/>
      <c r="C32" s="40" t="s">
        <v>167</v>
      </c>
      <c r="D32" s="39">
        <v>0</v>
      </c>
      <c r="E32" s="25"/>
    </row>
    <row r="33" spans="2:5">
      <c r="B33" s="39"/>
      <c r="C33" s="40" t="s">
        <v>168</v>
      </c>
      <c r="D33" s="39">
        <v>1</v>
      </c>
      <c r="E33" s="25"/>
    </row>
    <row r="34" spans="5:5">
      <c r="E34" s="25"/>
    </row>
    <row r="35" spans="2:5">
      <c r="B35" s="42" t="s">
        <v>169</v>
      </c>
      <c r="C35" s="42"/>
      <c r="D35" s="42"/>
      <c r="E35" s="25"/>
    </row>
    <row r="36" spans="2:5">
      <c r="B36" s="43" t="s">
        <v>170</v>
      </c>
      <c r="C36" s="44" t="s">
        <v>171</v>
      </c>
      <c r="D36" s="45">
        <v>1.39</v>
      </c>
      <c r="E36" s="25"/>
    </row>
    <row r="37" spans="2:5">
      <c r="B37" s="43" t="s">
        <v>127</v>
      </c>
      <c r="C37" s="44" t="s">
        <v>172</v>
      </c>
      <c r="D37" s="45">
        <v>1.21</v>
      </c>
      <c r="E37" s="25"/>
    </row>
    <row r="38" spans="2:5">
      <c r="B38" s="43" t="s">
        <v>173</v>
      </c>
      <c r="C38" s="44" t="s">
        <v>174</v>
      </c>
      <c r="D38" s="45">
        <v>1.1</v>
      </c>
      <c r="E38" s="25"/>
    </row>
    <row r="39" spans="2:5">
      <c r="B39" s="43" t="s">
        <v>175</v>
      </c>
      <c r="C39" s="44" t="s">
        <v>176</v>
      </c>
      <c r="D39" s="45">
        <v>1</v>
      </c>
      <c r="E39" s="25"/>
    </row>
    <row r="40" spans="2:5">
      <c r="B40" s="46"/>
      <c r="C40" s="46"/>
      <c r="D40" s="47"/>
      <c r="E40" s="25"/>
    </row>
    <row r="41" spans="5:5">
      <c r="E41" s="25"/>
    </row>
    <row r="42" spans="2:5">
      <c r="B42" s="29" t="s">
        <v>139</v>
      </c>
      <c r="C42" s="29"/>
      <c r="D42" s="29" t="s">
        <v>144</v>
      </c>
      <c r="E42" s="25"/>
    </row>
    <row r="43" spans="2:5">
      <c r="B43" s="39" t="s">
        <v>177</v>
      </c>
      <c r="C43" s="39"/>
      <c r="D43" s="41">
        <v>1.2</v>
      </c>
      <c r="E43" s="25"/>
    </row>
    <row r="44" spans="2:5">
      <c r="B44" s="39" t="s">
        <v>140</v>
      </c>
      <c r="C44" s="39"/>
      <c r="D44" s="41">
        <v>1</v>
      </c>
      <c r="E44" s="25"/>
    </row>
    <row r="45" spans="2:5">
      <c r="B45" s="39" t="s">
        <v>178</v>
      </c>
      <c r="C45" s="39"/>
      <c r="D45" s="41">
        <v>0.8</v>
      </c>
      <c r="E45" s="25"/>
    </row>
    <row r="46" spans="4:5">
      <c r="D46" s="25"/>
      <c r="E46" s="25"/>
    </row>
    <row r="47" spans="2:5">
      <c r="B47" s="38" t="s">
        <v>141</v>
      </c>
      <c r="C47" s="38"/>
      <c r="D47" s="38" t="s">
        <v>144</v>
      </c>
      <c r="E47" s="25"/>
    </row>
    <row r="48" spans="2:5">
      <c r="B48" s="39" t="s">
        <v>142</v>
      </c>
      <c r="C48" s="39"/>
      <c r="D48" s="41">
        <v>0.8</v>
      </c>
      <c r="E48" s="25"/>
    </row>
    <row r="49" spans="2:5">
      <c r="B49" s="39" t="s">
        <v>179</v>
      </c>
      <c r="C49" s="39"/>
      <c r="D49" s="41">
        <v>1</v>
      </c>
      <c r="E49" s="25"/>
    </row>
    <row r="50" spans="2:5">
      <c r="B50" s="39" t="s">
        <v>180</v>
      </c>
      <c r="C50" s="39"/>
      <c r="D50" s="41">
        <v>1.2</v>
      </c>
      <c r="E50" s="25"/>
    </row>
    <row r="51" spans="5:5">
      <c r="E51" s="25"/>
    </row>
    <row r="52" spans="2:5">
      <c r="B52" s="48" t="s">
        <v>181</v>
      </c>
      <c r="C52" s="48"/>
      <c r="D52" s="48" t="s">
        <v>182</v>
      </c>
      <c r="E52" s="25"/>
    </row>
    <row r="53" spans="2:5">
      <c r="B53" s="43" t="s">
        <v>43</v>
      </c>
      <c r="C53" s="43" t="s">
        <v>183</v>
      </c>
      <c r="D53" s="45">
        <f>1/3</f>
        <v>0.333333333333333</v>
      </c>
      <c r="E53" s="25"/>
    </row>
    <row r="54" spans="2:5">
      <c r="B54" s="43" t="s">
        <v>49</v>
      </c>
      <c r="C54" s="43" t="s">
        <v>184</v>
      </c>
      <c r="D54" s="45">
        <f>2/3</f>
        <v>0.666666666666667</v>
      </c>
      <c r="E54" s="25"/>
    </row>
    <row r="55" spans="2:5">
      <c r="B55" s="43" t="s">
        <v>185</v>
      </c>
      <c r="C55" s="43" t="s">
        <v>186</v>
      </c>
      <c r="D55" s="45">
        <f>1/1</f>
        <v>1</v>
      </c>
      <c r="E55" s="25"/>
    </row>
    <row r="56" spans="4:5">
      <c r="D56" s="25"/>
      <c r="E56" s="25"/>
    </row>
    <row r="57" spans="2:5">
      <c r="B57" s="48" t="s">
        <v>187</v>
      </c>
      <c r="C57" s="48"/>
      <c r="D57" s="48" t="s">
        <v>182</v>
      </c>
      <c r="E57" s="25"/>
    </row>
    <row r="58" spans="2:5">
      <c r="B58" s="43" t="s">
        <v>44</v>
      </c>
      <c r="C58" s="43" t="s">
        <v>188</v>
      </c>
      <c r="D58" s="45">
        <f>1/1</f>
        <v>1</v>
      </c>
      <c r="E58" s="49" t="s">
        <v>189</v>
      </c>
    </row>
    <row r="59" spans="2:5">
      <c r="B59" s="43" t="s">
        <v>69</v>
      </c>
      <c r="C59" s="43" t="s">
        <v>190</v>
      </c>
      <c r="D59" s="45">
        <v>0.8</v>
      </c>
      <c r="E59" s="49" t="s">
        <v>189</v>
      </c>
    </row>
    <row r="60" spans="2:5">
      <c r="B60" s="43" t="s">
        <v>191</v>
      </c>
      <c r="C60" s="43" t="s">
        <v>192</v>
      </c>
      <c r="D60" s="45">
        <v>0.2</v>
      </c>
      <c r="E60" s="49" t="s">
        <v>189</v>
      </c>
    </row>
    <row r="61" spans="4:5">
      <c r="D61" s="25"/>
      <c r="E61" s="25"/>
    </row>
    <row r="62" spans="2:5">
      <c r="B62" s="48" t="s">
        <v>11</v>
      </c>
      <c r="C62" s="48"/>
      <c r="D62" s="48" t="s">
        <v>182</v>
      </c>
      <c r="E62" s="25"/>
    </row>
    <row r="63" s="23" customFormat="1" spans="1:5">
      <c r="A63" s="50"/>
      <c r="B63" s="43" t="s">
        <v>51</v>
      </c>
      <c r="C63" s="43" t="s">
        <v>193</v>
      </c>
      <c r="D63" s="51">
        <v>7</v>
      </c>
      <c r="E63" s="49" t="s">
        <v>194</v>
      </c>
    </row>
    <row r="64" s="23" customFormat="1" spans="1:5">
      <c r="A64" s="50"/>
      <c r="B64" s="43" t="s">
        <v>195</v>
      </c>
      <c r="C64" s="43" t="s">
        <v>196</v>
      </c>
      <c r="D64" s="51">
        <v>5</v>
      </c>
      <c r="E64" s="49" t="s">
        <v>194</v>
      </c>
    </row>
    <row r="65" s="23" customFormat="1" spans="1:5">
      <c r="A65" s="50"/>
      <c r="B65" s="43" t="s">
        <v>54</v>
      </c>
      <c r="C65" s="43" t="s">
        <v>197</v>
      </c>
      <c r="D65" s="51">
        <v>4</v>
      </c>
      <c r="E65" s="49" t="s">
        <v>194</v>
      </c>
    </row>
    <row r="66" s="23" customFormat="1" spans="1:5">
      <c r="A66" s="50"/>
      <c r="B66" s="43" t="s">
        <v>47</v>
      </c>
      <c r="C66" s="43" t="s">
        <v>198</v>
      </c>
      <c r="D66" s="51">
        <v>5</v>
      </c>
      <c r="E66" s="49" t="s">
        <v>194</v>
      </c>
    </row>
    <row r="67" s="23" customFormat="1" spans="1:5">
      <c r="A67" s="50"/>
      <c r="B67" s="43" t="s">
        <v>42</v>
      </c>
      <c r="C67" s="43" t="s">
        <v>199</v>
      </c>
      <c r="D67" s="51">
        <v>4</v>
      </c>
      <c r="E67" s="49" t="s">
        <v>194</v>
      </c>
    </row>
    <row r="68" spans="5:5">
      <c r="E68" s="25"/>
    </row>
    <row r="69" spans="5:5">
      <c r="E69" s="25"/>
    </row>
    <row r="70" spans="5:5">
      <c r="E70" s="25"/>
    </row>
    <row r="71" spans="5:5">
      <c r="E71" s="25"/>
    </row>
    <row r="72" spans="5:5">
      <c r="E72" s="25"/>
    </row>
    <row r="73" spans="5:5">
      <c r="E73" s="25"/>
    </row>
    <row r="74" spans="5:5">
      <c r="E74" s="25"/>
    </row>
    <row r="92" spans="4:4">
      <c r="D92" s="25"/>
    </row>
    <row r="93" spans="4:4">
      <c r="D93" s="25"/>
    </row>
    <row r="94" spans="4:4">
      <c r="D94" s="25"/>
    </row>
    <row r="95" spans="4:4">
      <c r="D95" s="25"/>
    </row>
    <row r="96" spans="4:4">
      <c r="D96" s="25"/>
    </row>
    <row r="97" spans="4:4">
      <c r="D97" s="25"/>
    </row>
  </sheetData>
  <mergeCells count="22">
    <mergeCell ref="A1:D1"/>
    <mergeCell ref="A2:B2"/>
    <mergeCell ref="A3:B3"/>
    <mergeCell ref="A8:B8"/>
    <mergeCell ref="A9:B9"/>
    <mergeCell ref="B35:D35"/>
    <mergeCell ref="B42:C42"/>
    <mergeCell ref="B43:C43"/>
    <mergeCell ref="B44:C44"/>
    <mergeCell ref="B45:C45"/>
    <mergeCell ref="B47:C47"/>
    <mergeCell ref="B48:C48"/>
    <mergeCell ref="B49:C49"/>
    <mergeCell ref="B50:C50"/>
    <mergeCell ref="B52:C52"/>
    <mergeCell ref="B57:C57"/>
    <mergeCell ref="B62:C62"/>
    <mergeCell ref="A4:A7"/>
    <mergeCell ref="B22:B24"/>
    <mergeCell ref="B25:B27"/>
    <mergeCell ref="B28:B30"/>
    <mergeCell ref="B31:B33"/>
  </mergeCells>
  <dataValidations count="9">
    <dataValidation type="list" allowBlank="1" showInputMessage="1" showErrorMessage="1" sqref="C2">
      <formula1>$B$36:$B$39</formula1>
    </dataValidation>
    <dataValidation type="list" allowBlank="1" showInputMessage="1" showErrorMessage="1" sqref="C3">
      <formula1>$B$12:$B$19</formula1>
    </dataValidation>
    <dataValidation type="list" allowBlank="1" showInputMessage="1" showErrorMessage="1" sqref="C4">
      <formula1>$C$22:$C$24</formula1>
    </dataValidation>
    <dataValidation type="list" allowBlank="1" showInputMessage="1" showErrorMessage="1" sqref="C5">
      <formula1>$C$25:$C$27</formula1>
    </dataValidation>
    <dataValidation type="list" allowBlank="1" showInputMessage="1" showErrorMessage="1" sqref="C6 C10 C34 B40 C41 C46 C51 C56 C61">
      <formula1>$C$28:$C$30</formula1>
    </dataValidation>
    <dataValidation type="list" allowBlank="1" showInputMessage="1" showErrorMessage="1" sqref="C7">
      <formula1>$C$31:$C$33</formula1>
    </dataValidation>
    <dataValidation type="list" allowBlank="1" showInputMessage="1" showErrorMessage="1" sqref="C8">
      <formula1>$B$43:$B$45</formula1>
    </dataValidation>
    <dataValidation type="list" allowBlank="1" showInputMessage="1" showErrorMessage="1" sqref="C9">
      <formula1>$B$48:$B$50</formula1>
    </dataValidation>
    <dataValidation type="list" allowBlank="1" showInputMessage="1" showErrorMessage="1" sqref="B43:C43">
      <formula1>$B$43</formula1>
    </dataValidation>
  </dataValidations>
  <printOptions horizontalCentered="1"/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0000"/>
  </sheetPr>
  <dimension ref="A1:J13"/>
  <sheetViews>
    <sheetView workbookViewId="0">
      <selection activeCell="B18" sqref="B18"/>
    </sheetView>
  </sheetViews>
  <sheetFormatPr defaultColWidth="9" defaultRowHeight="13.5"/>
  <cols>
    <col min="1" max="1" customWidth="true" width="8.6283185840708" collapsed="false"/>
    <col min="2" max="2" customWidth="true" width="22.3716814159292" collapsed="false"/>
    <col min="3" max="3" customWidth="true" width="12.0" collapsed="false"/>
    <col min="4" max="4" customWidth="true" width="37.4513274336283" collapsed="false"/>
    <col min="5" max="5" customWidth="true" width="12.0" collapsed="false"/>
  </cols>
  <sheetData>
    <row r="1" ht="40" customHeight="1" spans="1:10">
      <c r="A1" s="1" t="s">
        <v>200</v>
      </c>
      <c r="B1" s="1"/>
      <c r="C1" s="1"/>
      <c r="D1" s="1"/>
      <c r="E1" s="2"/>
      <c r="F1" s="2"/>
      <c r="G1" s="2"/>
      <c r="H1" s="2"/>
      <c r="I1" s="2"/>
      <c r="J1" s="2"/>
    </row>
    <row r="2" spans="7:8">
      <c r="G2" s="3"/>
      <c r="H2" s="3"/>
    </row>
    <row r="3" ht="16" customHeight="1" spans="1:4">
      <c r="A3" s="4"/>
      <c r="B3" s="4"/>
      <c r="C3" s="4" t="s">
        <v>201</v>
      </c>
      <c r="D3" s="4" t="s">
        <v>202</v>
      </c>
    </row>
    <row r="4" ht="15" customHeight="1" spans="1:4">
      <c r="A4" s="5" t="s">
        <v>203</v>
      </c>
      <c r="B4" s="5"/>
      <c r="C4" s="6">
        <f>'2. 规模估算'!C5</f>
        <v>122.6</v>
      </c>
      <c r="D4" s="7" t="s">
        <v>28</v>
      </c>
    </row>
    <row r="5" ht="15" customHeight="1" spans="1:4">
      <c r="A5" s="5" t="s">
        <v>204</v>
      </c>
      <c r="B5" s="5"/>
      <c r="C5" s="8">
        <f>'3. 调整因子'!D2</f>
        <v>1.21</v>
      </c>
      <c r="D5" s="7" t="s">
        <v>205</v>
      </c>
    </row>
    <row r="6" ht="15" customHeight="1" spans="1:7">
      <c r="A6" s="9" t="s">
        <v>206</v>
      </c>
      <c r="B6" s="9"/>
      <c r="C6" s="10">
        <f>C4*C5</f>
        <v>148.346</v>
      </c>
      <c r="D6" s="7" t="s">
        <v>207</v>
      </c>
      <c r="G6" s="11"/>
    </row>
    <row r="7" ht="15" customHeight="1" spans="1:7">
      <c r="A7" s="12" t="s">
        <v>208</v>
      </c>
      <c r="B7" s="13"/>
      <c r="C7" s="14">
        <v>10.12</v>
      </c>
      <c r="D7" s="15" t="s">
        <v>209</v>
      </c>
      <c r="E7" s="16"/>
      <c r="F7" s="16"/>
      <c r="G7" s="11"/>
    </row>
    <row r="8" ht="15" customHeight="1" spans="1:4">
      <c r="A8" s="17" t="s">
        <v>210</v>
      </c>
      <c r="B8" s="18"/>
      <c r="C8" s="8">
        <f>C6*C7/8</f>
        <v>187.657689999999</v>
      </c>
      <c r="D8" s="7" t="s">
        <v>211</v>
      </c>
    </row>
    <row r="9" ht="15" customHeight="1" spans="1:4">
      <c r="A9" s="19" t="s">
        <v>144</v>
      </c>
      <c r="B9" s="5" t="s">
        <v>128</v>
      </c>
      <c r="C9" s="20">
        <f>'3. 调整因子'!D3</f>
        <v>1</v>
      </c>
      <c r="D9" s="21" t="s">
        <v>212</v>
      </c>
    </row>
    <row r="10" ht="15" customHeight="1" spans="1:4">
      <c r="A10" s="19"/>
      <c r="B10" s="5" t="s">
        <v>130</v>
      </c>
      <c r="C10" s="20">
        <f>1+0.025*SUM('3. 调整因子'!D4:D7)</f>
        <v>0.9</v>
      </c>
      <c r="D10" s="21" t="s">
        <v>213</v>
      </c>
    </row>
    <row r="11" ht="15" customHeight="1" spans="1:4">
      <c r="A11" s="19"/>
      <c r="B11" s="5" t="s">
        <v>139</v>
      </c>
      <c r="C11" s="20">
        <f>'3. 调整因子'!D8</f>
        <v>1</v>
      </c>
      <c r="D11" s="21" t="s">
        <v>214</v>
      </c>
    </row>
    <row r="12" ht="15" customHeight="1" spans="1:4">
      <c r="A12" s="19"/>
      <c r="B12" s="5" t="s">
        <v>141</v>
      </c>
      <c r="C12" s="20">
        <f>'3. 调整因子'!D9</f>
        <v>0.8</v>
      </c>
      <c r="D12" s="21" t="s">
        <v>215</v>
      </c>
    </row>
    <row r="13" ht="15" customHeight="1" spans="1:4">
      <c r="A13" s="17" t="s">
        <v>216</v>
      </c>
      <c r="B13" s="18"/>
      <c r="C13" s="22">
        <f>C8*C9*C10*C11*C12</f>
        <v>135.1135368</v>
      </c>
      <c r="D13" s="7" t="s">
        <v>217</v>
      </c>
    </row>
  </sheetData>
  <sheetProtection sheet="1" objects="1"/>
  <mergeCells count="9">
    <mergeCell ref="A1:D1"/>
    <mergeCell ref="A3:B3"/>
    <mergeCell ref="A4:B4"/>
    <mergeCell ref="A5:B5"/>
    <mergeCell ref="A6:B6"/>
    <mergeCell ref="A7:B7"/>
    <mergeCell ref="A8:B8"/>
    <mergeCell ref="A13:B13"/>
    <mergeCell ref="A9:A12"/>
  </mergeCells>
  <printOptions horizontalCentered="1"/>
  <pageMargins left="0.708661417322835" right="0.708661417322835" top="0.748031496062992" bottom="0.748031496062992" header="0.31496062992126" footer="0.31496062992126"/>
  <pageSetup paperSize="9" orientation="landscape"/>
  <headerFooter/>
  <legacyDrawing r:id="rId2"/>
</worksheet>
</file>

<file path=customXml/_rels/item1.xml.rels><?xml version="1.0" encoding="UTF-8"?>

<Relationships xmlns="http://schemas.openxmlformats.org/package/2006/relationships">
  <Relationship Id="rId1" Type="http://schemas.openxmlformats.org/officeDocument/2006/relationships/customXmlProps" Target="itemProps1.xml"/>
</Relationships>
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  <rangeList sheetStid="2" master="" otherUserPermission="visible"/>
  <rangeList sheetStid="9" master="" otherUserPermission="visible"/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中国系统与软件度量用户组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填写说明</vt:lpstr>
      <vt:lpstr>2. 规模估算</vt:lpstr>
      <vt:lpstr>3. 调整因子</vt:lpstr>
      <vt:lpstr>4. 评估结果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category>计算器</category>
  <dcterms:created xsi:type="dcterms:W3CDTF">2025-10-15T02:44:37Z</dcterms:created>
  <dc:creator>王海青</dc:creator>
  <lastModifiedBy>秋叶</lastModifiedBy>
  <lastPrinted>2019-06-14T09:05:00Z</lastPrinted>
  <dcterms:modified xsi:type="dcterms:W3CDTF">2025-10-15T02:44:37Z</dcterms:modified>
  <dc:subject>工作量评估</dc:subject>
  <dc:title>国税总局估算工具</dc:title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3D2F9EE66A354E87A712CDD2C587E662_12</vt:lpwstr>
  </property>
  <property fmtid="{D5CDD505-2E9C-101B-9397-08002B2CF9AE}" pid="3" name="KSOProductBuildVer">
    <vt:lpwstr>2052-12.8.2.19315</vt:lpwstr>
  </property>
  <property fmtid="{D5CDD505-2E9C-101B-9397-08002B2CF9AE}" pid="4" name="KSOReadingLayout">
    <vt:bool>true</vt:bool>
  </property>
</Properties>
</file>