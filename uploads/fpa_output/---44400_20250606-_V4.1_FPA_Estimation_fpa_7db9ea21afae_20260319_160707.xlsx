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填写说明" sheetId="1" state="visible" r:id="rId1"/>
    <sheet xmlns:r="http://schemas.openxmlformats.org/officeDocument/2006/relationships" name="2. 规模估算" sheetId="2" state="visible" r:id="rId2"/>
    <sheet xmlns:r="http://schemas.openxmlformats.org/officeDocument/2006/relationships" name="3. 调整因子" sheetId="3" state="visible" r:id="rId3"/>
    <sheet xmlns:r="http://schemas.openxmlformats.org/officeDocument/2006/relationships" name="4. 评估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color rgb="00000000"/>
      <sz val="11"/>
    </font>
    <font>
      <b val="1"/>
      <sz val="20"/>
    </font>
    <font>
      <b val="1"/>
    </font>
    <font>
      <color rgb="00FF0000"/>
    </font>
    <font>
      <b val="1"/>
      <color rgb="000000FF"/>
    </font>
    <font>
      <i val="1"/>
    </font>
    <font>
      <color rgb="00008000"/>
    </font>
    <font>
      <color rgb="00FF0000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A5A5A5"/>
        <bgColor rgb="00A5A5A5"/>
      </patternFill>
    </fill>
    <fill>
      <patternFill patternType="solid">
        <fgColor rgb="00C6EFCE"/>
        <bgColor rgb="00C6EFCE"/>
      </patternFill>
    </fill>
    <fill>
      <patternFill patternType="solid">
        <fgColor rgb="00FFCC99"/>
        <bgColor rgb="00FFCC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/>
    </xf>
    <xf numFmtId="0" fontId="1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6" fillId="3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100" customHeight="1">
      <c r="A1" s="1" t="inlineStr">
        <is>
          <t>模型填写顺序为：
1、拆分功能点，填写《2.规模估算》。
2、调整因子参考《3.调整因子》进行取值。
3、自动计算评估结果，查看《4.评估结果》。</t>
        </is>
      </c>
      <c r="B1" s="1" t="n"/>
    </row>
    <row r="2">
      <c r="A2" s="1" t="inlineStr">
        <is>
          <t>白色单元格</t>
        </is>
      </c>
      <c r="B2" s="1" t="inlineStr">
        <is>
          <t>计价评估时，只填写白色单元格</t>
        </is>
      </c>
    </row>
    <row r="3">
      <c r="A3" s="1" t="inlineStr">
        <is>
          <t>深灰单元格</t>
        </is>
      </c>
      <c r="B3" s="1" t="inlineStr">
        <is>
          <t>模板格式部分，不得修改</t>
        </is>
      </c>
    </row>
    <row r="4">
      <c r="A4" s="1" t="inlineStr">
        <is>
          <t>绿色单元格</t>
        </is>
      </c>
      <c r="B4" s="1" t="inlineStr">
        <is>
          <t>公式计算结果，不得擅自修改</t>
        </is>
      </c>
    </row>
    <row r="5">
      <c r="A5" s="1" t="inlineStr">
        <is>
          <t>红色字体</t>
        </is>
      </c>
      <c r="B5" s="1" t="inlineStr">
        <is>
          <t>公式计算结果或说明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5" customWidth="1" min="4" max="4"/>
    <col width="20" customWidth="1" min="5" max="5"/>
    <col width="40" customWidth="1" min="6" max="6"/>
    <col width="10" customWidth="1" min="7" max="7"/>
    <col width="8" customWidth="1" min="8" max="8"/>
    <col width="10" customWidth="1" min="9" max="9"/>
    <col width="10" customWidth="1" min="10" max="10"/>
    <col width="8" customWidth="1" min="11" max="11"/>
    <col width="30" customWidth="1" min="12" max="12"/>
  </cols>
  <sheetData>
    <row r="1" ht="40" customHeight="1">
      <c r="A1" s="2" t="inlineStr">
        <is>
          <t>2. 规模估算</t>
        </is>
      </c>
    </row>
    <row r="3">
      <c r="A3" s="3" t="inlineStr">
        <is>
          <t>规模估算方法</t>
        </is>
      </c>
      <c r="C3" s="4" t="inlineStr">
        <is>
          <t>'软件开发计价模型':7/5/4/5/4</t>
        </is>
      </c>
    </row>
    <row r="4">
      <c r="A4" s="5" t="inlineStr">
        <is>
          <t>未调整功能点合计</t>
        </is>
      </c>
      <c r="B4" s="6" t="n">
        <v>823</v>
      </c>
      <c r="C4" s="7" t="inlineStr">
        <is>
          <t>UFP,单位:FP</t>
        </is>
      </c>
    </row>
    <row r="5">
      <c r="A5" s="5" t="inlineStr">
        <is>
          <t>调整后功能点合计</t>
        </is>
      </c>
      <c r="B5" s="6" t="n">
        <v>271.59</v>
      </c>
      <c r="C5" s="7" t="inlineStr">
        <is>
          <t>AFP,单位:FP</t>
        </is>
      </c>
    </row>
    <row r="6" ht="25" customHeight="1">
      <c r="A6" s="8" t="inlineStr">
        <is>
          <t>1. 本次计数在项目前期，需求未充分挖掘</t>
        </is>
      </c>
    </row>
    <row r="7" ht="25" customHeight="1">
      <c r="A7" s="9" t="inlineStr">
        <is>
          <t>2. 绿色单元格为被保护，不得擅自修改</t>
        </is>
      </c>
    </row>
    <row r="8" ht="40" customHeight="1">
      <c r="A8" s="10" t="inlineStr">
        <is>
          <t>编号</t>
        </is>
      </c>
      <c r="B8" s="10" t="inlineStr">
        <is>
          <t>一级分类</t>
        </is>
      </c>
      <c r="C8" s="10" t="inlineStr">
        <is>
          <t>二级分类</t>
        </is>
      </c>
      <c r="D8" s="10" t="inlineStr">
        <is>
          <t>三级分类</t>
        </is>
      </c>
      <c r="E8" s="10" t="inlineStr">
        <is>
          <t>功能点名称</t>
        </is>
      </c>
      <c r="F8" s="10" t="inlineStr">
        <is>
          <t>功能点计数项</t>
        </is>
      </c>
      <c r="G8" s="10" t="inlineStr">
        <is>
          <t>类别</t>
        </is>
      </c>
      <c r="H8" s="10" t="inlineStr">
        <is>
          <t>UFP</t>
        </is>
      </c>
      <c r="I8" s="10" t="inlineStr">
        <is>
          <t>重用程度</t>
        </is>
      </c>
      <c r="J8" s="10" t="inlineStr">
        <is>
          <t>修改类型</t>
        </is>
      </c>
      <c r="K8" s="10" t="inlineStr">
        <is>
          <t>AFP</t>
        </is>
      </c>
      <c r="L8" s="10" t="inlineStr">
        <is>
          <t>备注</t>
        </is>
      </c>
    </row>
    <row r="9" ht="60" customHeight="1">
      <c r="A9" s="11" t="inlineStr">
        <is>
          <t>填写说明</t>
        </is>
      </c>
      <c r="B9" s="11" t="inlineStr">
        <is>
          <t>必填</t>
        </is>
      </c>
      <c r="C9" s="11" t="inlineStr">
        <is>
          <t>必填</t>
        </is>
      </c>
      <c r="D9" s="11" t="inlineStr">
        <is>
          <t>必填</t>
        </is>
      </c>
      <c r="E9" s="11" t="inlineStr">
        <is>
          <t>必填</t>
        </is>
      </c>
      <c r="F9" s="11" t="inlineStr">
        <is>
          <t>必填</t>
        </is>
      </c>
      <c r="G9" s="11" t="inlineStr">
        <is>
          <t>请选择计价模型种类。</t>
        </is>
      </c>
      <c r="H9" s="11" t="inlineStr">
        <is>
          <t>自动计算未调整的功能点数量。</t>
        </is>
      </c>
      <c r="I9" s="11" t="inlineStr">
        <is>
          <t>请选择代码复用情况</t>
        </is>
      </c>
      <c r="J9" s="11" t="inlineStr">
        <is>
          <t>请选择代码修改情况</t>
        </is>
      </c>
      <c r="K9" s="11" t="inlineStr">
        <is>
          <t>自动计算调整后的功能点数量。</t>
        </is>
      </c>
      <c r="L9" s="11" t="inlineStr">
        <is>
          <t>调整 AFP:请通过重用程度、修改类型来改</t>
        </is>
      </c>
    </row>
    <row r="10" ht="30" customHeight="1">
      <c r="A10" s="12" t="n">
        <v>1</v>
      </c>
      <c r="B10" s="13" t="inlineStr">
        <is>
          <t>监控管理应用</t>
        </is>
      </c>
      <c r="C10" s="13" t="inlineStr">
        <is>
          <t>复盘流程</t>
        </is>
      </c>
      <c r="D10" s="13" t="inlineStr">
        <is>
          <t>复盘流程</t>
        </is>
      </c>
      <c r="E10" s="13" t="inlineStr">
        <is>
          <t>复盘新建</t>
        </is>
      </c>
      <c r="F10" s="13" t="inlineStr">
        <is>
          <t>预警ID字段采集</t>
        </is>
      </c>
      <c r="G10" s="12" t="inlineStr">
        <is>
          <t>ILF</t>
        </is>
      </c>
      <c r="H10" s="14">
        <f>IF(G10="ILF",7,IF(G10="EO",5,IF(G10="EIF",5,IF(G10="EI",4,IF(G10="EQ",4,5)))))</f>
        <v/>
      </c>
      <c r="I10" s="12" t="inlineStr">
        <is>
          <t>高</t>
        </is>
      </c>
      <c r="J10" s="12" t="inlineStr">
        <is>
          <t>新增</t>
        </is>
      </c>
      <c r="K10" s="14">
        <f>IF(J10="新增",IF(I10="高",H10*0.33,IF(I10="中",H10*0.67,H10)),H10*0.5)</f>
        <v/>
      </c>
      <c r="L10" s="13" t="inlineStr"/>
    </row>
    <row r="11" ht="30" customHeight="1">
      <c r="A11" s="12" t="n">
        <v>2</v>
      </c>
      <c r="B11" s="13" t="inlineStr">
        <is>
          <t>监控管理应用</t>
        </is>
      </c>
      <c r="C11" s="13" t="inlineStr">
        <is>
          <t>复盘流程</t>
        </is>
      </c>
      <c r="D11" s="13" t="inlineStr">
        <is>
          <t>复盘流程</t>
        </is>
      </c>
      <c r="E11" s="13" t="inlineStr">
        <is>
          <t>复盘新建</t>
        </is>
      </c>
      <c r="F11" s="13" t="inlineStr">
        <is>
          <t>预警关键字段映射复盘</t>
        </is>
      </c>
      <c r="G11" s="12" t="inlineStr">
        <is>
          <t>ILF</t>
        </is>
      </c>
      <c r="H11" s="14">
        <f>IF(G11="ILF",7,IF(G11="EO",5,IF(G11="EIF",5,IF(G11="EI",4,IF(G11="EQ",4,5)))))</f>
        <v/>
      </c>
      <c r="I11" s="12" t="inlineStr">
        <is>
          <t>高</t>
        </is>
      </c>
      <c r="J11" s="12" t="inlineStr">
        <is>
          <t>新增</t>
        </is>
      </c>
      <c r="K11" s="14">
        <f>IF(J11="新增",IF(I11="高",H11*0.33,IF(I11="中",H11*0.67,H11)),H11*0.5)</f>
        <v/>
      </c>
      <c r="L11" s="13" t="inlineStr"/>
    </row>
    <row r="12" ht="30" customHeight="1">
      <c r="A12" s="12" t="n">
        <v>3</v>
      </c>
      <c r="B12" s="13" t="inlineStr">
        <is>
          <t>监控管理应用</t>
        </is>
      </c>
      <c r="C12" s="13" t="inlineStr">
        <is>
          <t>复盘流程</t>
        </is>
      </c>
      <c r="D12" s="13" t="inlineStr">
        <is>
          <t>复盘流程</t>
        </is>
      </c>
      <c r="E12" s="13" t="inlineStr">
        <is>
          <t>复盘新建</t>
        </is>
      </c>
      <c r="F12" s="13" t="inlineStr">
        <is>
          <t>复盘工单主表</t>
        </is>
      </c>
      <c r="G12" s="12" t="inlineStr">
        <is>
          <t>EO</t>
        </is>
      </c>
      <c r="H12" s="14">
        <f>IF(G12="ILF",7,IF(G12="EO",5,IF(G12="EIF",5,IF(G12="EI",4,IF(G12="EQ",4,5)))))</f>
        <v/>
      </c>
      <c r="I12" s="12" t="inlineStr">
        <is>
          <t>高</t>
        </is>
      </c>
      <c r="J12" s="12" t="inlineStr">
        <is>
          <t>新增</t>
        </is>
      </c>
      <c r="K12" s="14">
        <f>IF(J12="新增",IF(I12="高",H12*0.33,IF(I12="中",H12*0.67,H12)),H12*0.5)</f>
        <v/>
      </c>
      <c r="L12" s="13" t="inlineStr"/>
    </row>
    <row r="13" ht="30" customHeight="1">
      <c r="A13" s="12" t="n">
        <v>4</v>
      </c>
      <c r="B13" s="13" t="inlineStr">
        <is>
          <t>监控管理应用</t>
        </is>
      </c>
      <c r="C13" s="13" t="inlineStr">
        <is>
          <t>复盘流程</t>
        </is>
      </c>
      <c r="D13" s="13" t="inlineStr">
        <is>
          <t>复盘流程</t>
        </is>
      </c>
      <c r="E13" s="13" t="inlineStr">
        <is>
          <t>复盘新建</t>
        </is>
      </c>
      <c r="F13" s="13" t="inlineStr">
        <is>
          <t>预警调度信息采集</t>
        </is>
      </c>
      <c r="G13" s="12" t="inlineStr">
        <is>
          <t>ILF</t>
        </is>
      </c>
      <c r="H13" s="14">
        <f>IF(G13="ILF",7,IF(G13="EO",5,IF(G13="EIF",5,IF(G13="EI",4,IF(G13="EQ",4,5)))))</f>
        <v/>
      </c>
      <c r="I13" s="12" t="inlineStr">
        <is>
          <t>高</t>
        </is>
      </c>
      <c r="J13" s="12" t="inlineStr">
        <is>
          <t>新增</t>
        </is>
      </c>
      <c r="K13" s="14">
        <f>IF(J13="新增",IF(I13="高",H13*0.33,IF(I13="中",H13*0.67,H13)),H13*0.5)</f>
        <v/>
      </c>
      <c r="L13" s="13" t="inlineStr"/>
    </row>
    <row r="14" ht="30" customHeight="1">
      <c r="A14" s="12" t="n">
        <v>5</v>
      </c>
      <c r="B14" s="13" t="inlineStr">
        <is>
          <t>监控管理应用</t>
        </is>
      </c>
      <c r="C14" s="13" t="inlineStr">
        <is>
          <t>复盘流程</t>
        </is>
      </c>
      <c r="D14" s="13" t="inlineStr">
        <is>
          <t>复盘流程</t>
        </is>
      </c>
      <c r="E14" s="13" t="inlineStr">
        <is>
          <t>复盘新建</t>
        </is>
      </c>
      <c r="F14" s="13" t="inlineStr">
        <is>
          <t>预警调度信息呈现</t>
        </is>
      </c>
      <c r="G14" s="12" t="inlineStr">
        <is>
          <t>ILF</t>
        </is>
      </c>
      <c r="H14" s="14">
        <f>IF(G14="ILF",7,IF(G14="EO",5,IF(G14="EIF",5,IF(G14="EI",4,IF(G14="EQ",4,5)))))</f>
        <v/>
      </c>
      <c r="I14" s="12" t="inlineStr">
        <is>
          <t>高</t>
        </is>
      </c>
      <c r="J14" s="12" t="inlineStr">
        <is>
          <t>新增</t>
        </is>
      </c>
      <c r="K14" s="14">
        <f>IF(J14="新增",IF(I14="高",H14*0.33,IF(I14="中",H14*0.67,H14)),H14*0.5)</f>
        <v/>
      </c>
      <c r="L14" s="13" t="inlineStr"/>
    </row>
    <row r="15" ht="30" customHeight="1">
      <c r="A15" s="12" t="n">
        <v>6</v>
      </c>
      <c r="B15" s="13" t="inlineStr">
        <is>
          <t>监控管理应用</t>
        </is>
      </c>
      <c r="C15" s="13" t="inlineStr">
        <is>
          <t>复盘流程</t>
        </is>
      </c>
      <c r="D15" s="13" t="inlineStr">
        <is>
          <t>复盘流程</t>
        </is>
      </c>
      <c r="E15" s="13" t="inlineStr">
        <is>
          <t>复盘新建</t>
        </is>
      </c>
      <c r="F15" s="13" t="inlineStr">
        <is>
          <t>预警调度信息修改</t>
        </is>
      </c>
      <c r="G15" s="12" t="inlineStr">
        <is>
          <t>ILF</t>
        </is>
      </c>
      <c r="H15" s="14">
        <f>IF(G15="ILF",7,IF(G15="EO",5,IF(G15="EIF",5,IF(G15="EI",4,IF(G15="EQ",4,5)))))</f>
        <v/>
      </c>
      <c r="I15" s="12" t="inlineStr">
        <is>
          <t>高</t>
        </is>
      </c>
      <c r="J15" s="12" t="inlineStr">
        <is>
          <t>新增</t>
        </is>
      </c>
      <c r="K15" s="14">
        <f>IF(J15="新增",IF(I15="高",H15*0.33,IF(I15="中",H15*0.67,H15)),H15*0.5)</f>
        <v/>
      </c>
      <c r="L15" s="13" t="inlineStr"/>
    </row>
    <row r="16" ht="30" customHeight="1">
      <c r="A16" s="12" t="n">
        <v>7</v>
      </c>
      <c r="B16" s="13" t="inlineStr">
        <is>
          <t>监控管理应用</t>
        </is>
      </c>
      <c r="C16" s="13" t="inlineStr">
        <is>
          <t>复盘流程</t>
        </is>
      </c>
      <c r="D16" s="13" t="inlineStr">
        <is>
          <t>复盘流程</t>
        </is>
      </c>
      <c r="E16" s="13" t="inlineStr">
        <is>
          <t>复盘新建</t>
        </is>
      </c>
      <c r="F16" s="13" t="inlineStr">
        <is>
          <t>预警工单主表</t>
        </is>
      </c>
      <c r="G16" s="12" t="inlineStr">
        <is>
          <t>ILF</t>
        </is>
      </c>
      <c r="H16" s="14">
        <f>IF(G16="ILF",7,IF(G16="EO",5,IF(G16="EIF",5,IF(G16="EI",4,IF(G16="EQ",4,5)))))</f>
        <v/>
      </c>
      <c r="I16" s="12" t="inlineStr">
        <is>
          <t>高</t>
        </is>
      </c>
      <c r="J16" s="12" t="inlineStr">
        <is>
          <t>新增</t>
        </is>
      </c>
      <c r="K16" s="14">
        <f>IF(J16="新增",IF(I16="高",H16*0.33,IF(I16="中",H16*0.67,H16)),H16*0.5)</f>
        <v/>
      </c>
      <c r="L16" s="13" t="inlineStr"/>
    </row>
    <row r="17" ht="30" customHeight="1">
      <c r="A17" s="12" t="n">
        <v>8</v>
      </c>
      <c r="B17" s="13" t="inlineStr">
        <is>
          <t>监控管理应用</t>
        </is>
      </c>
      <c r="C17" s="13" t="inlineStr">
        <is>
          <t>复盘流程</t>
        </is>
      </c>
      <c r="D17" s="13" t="inlineStr">
        <is>
          <t>复盘流程</t>
        </is>
      </c>
      <c r="E17" s="13" t="inlineStr">
        <is>
          <t>复盘新建</t>
        </is>
      </c>
      <c r="F17" s="13" t="inlineStr">
        <is>
          <t>预警调度表</t>
        </is>
      </c>
      <c r="G17" s="12" t="inlineStr">
        <is>
          <t>ILF</t>
        </is>
      </c>
      <c r="H17" s="14">
        <f>IF(G17="ILF",7,IF(G17="EO",5,IF(G17="EIF",5,IF(G17="EI",4,IF(G17="EQ",4,5)))))</f>
        <v/>
      </c>
      <c r="I17" s="12" t="inlineStr">
        <is>
          <t>高</t>
        </is>
      </c>
      <c r="J17" s="12" t="inlineStr">
        <is>
          <t>新增</t>
        </is>
      </c>
      <c r="K17" s="14">
        <f>IF(J17="新增",IF(I17="高",H17*0.33,IF(I17="中",H17*0.67,H17)),H17*0.5)</f>
        <v/>
      </c>
      <c r="L17" s="13" t="inlineStr"/>
    </row>
    <row r="18" ht="30" customHeight="1">
      <c r="A18" s="12" t="n">
        <v>9</v>
      </c>
      <c r="B18" s="13" t="inlineStr">
        <is>
          <t>监控管理应用</t>
        </is>
      </c>
      <c r="C18" s="13" t="inlineStr">
        <is>
          <t>复盘流程</t>
        </is>
      </c>
      <c r="D18" s="13" t="inlineStr">
        <is>
          <t>复盘流程</t>
        </is>
      </c>
      <c r="E18" s="13" t="inlineStr">
        <is>
          <t>复盘新建</t>
        </is>
      </c>
      <c r="F18" s="13" t="inlineStr">
        <is>
          <t>同段落预警数据源过滤</t>
        </is>
      </c>
      <c r="G18" s="12" t="inlineStr">
        <is>
          <t>EO</t>
        </is>
      </c>
      <c r="H18" s="14">
        <f>IF(G18="ILF",7,IF(G18="EO",5,IF(G18="EIF",5,IF(G18="EI",4,IF(G18="EQ",4,5)))))</f>
        <v/>
      </c>
      <c r="I18" s="12" t="inlineStr">
        <is>
          <t>高</t>
        </is>
      </c>
      <c r="J18" s="12" t="inlineStr">
        <is>
          <t>新增</t>
        </is>
      </c>
      <c r="K18" s="14">
        <f>IF(J18="新增",IF(I18="高",H18*0.33,IF(I18="中",H18*0.67,H18)),H18*0.5)</f>
        <v/>
      </c>
      <c r="L18" s="13" t="inlineStr"/>
    </row>
    <row r="19" ht="30" customHeight="1">
      <c r="A19" s="12" t="n">
        <v>10</v>
      </c>
      <c r="B19" s="13" t="inlineStr">
        <is>
          <t>监控管理应用</t>
        </is>
      </c>
      <c r="C19" s="13" t="inlineStr">
        <is>
          <t>复盘流程</t>
        </is>
      </c>
      <c r="D19" s="13" t="inlineStr">
        <is>
          <t>复盘流程</t>
        </is>
      </c>
      <c r="E19" s="13" t="inlineStr">
        <is>
          <t>复盘新建</t>
        </is>
      </c>
      <c r="F19" s="13" t="inlineStr">
        <is>
          <t>同段落重复故障判定</t>
        </is>
      </c>
      <c r="G19" s="12" t="inlineStr">
        <is>
          <t>EO</t>
        </is>
      </c>
      <c r="H19" s="14">
        <f>IF(G19="ILF",7,IF(G19="EO",5,IF(G19="EIF",5,IF(G19="EI",4,IF(G19="EQ",4,5)))))</f>
        <v/>
      </c>
      <c r="I19" s="12" t="inlineStr">
        <is>
          <t>高</t>
        </is>
      </c>
      <c r="J19" s="12" t="inlineStr">
        <is>
          <t>新增</t>
        </is>
      </c>
      <c r="K19" s="14">
        <f>IF(J19="新增",IF(I19="高",H19*0.33,IF(I19="中",H19*0.67,H19)),H19*0.5)</f>
        <v/>
      </c>
      <c r="L19" s="13" t="inlineStr"/>
    </row>
    <row r="20" ht="30" customHeight="1">
      <c r="A20" s="12" t="n">
        <v>11</v>
      </c>
      <c r="B20" s="13" t="inlineStr">
        <is>
          <t>监控管理应用</t>
        </is>
      </c>
      <c r="C20" s="13" t="inlineStr">
        <is>
          <t>复盘流程</t>
        </is>
      </c>
      <c r="D20" s="13" t="inlineStr">
        <is>
          <t>复盘流程</t>
        </is>
      </c>
      <c r="E20" s="13" t="inlineStr">
        <is>
          <t>复盘新建</t>
        </is>
      </c>
      <c r="F20" s="13" t="inlineStr">
        <is>
          <t>省公司同段落排查建议输出</t>
        </is>
      </c>
      <c r="G20" s="12" t="inlineStr">
        <is>
          <t>EO</t>
        </is>
      </c>
      <c r="H20" s="14">
        <f>IF(G20="ILF",7,IF(G20="EO",5,IF(G20="EIF",5,IF(G20="EI",4,IF(G20="EQ",4,5)))))</f>
        <v/>
      </c>
      <c r="I20" s="12" t="inlineStr">
        <is>
          <t>高</t>
        </is>
      </c>
      <c r="J20" s="12" t="inlineStr">
        <is>
          <t>新增</t>
        </is>
      </c>
      <c r="K20" s="14">
        <f>IF(J20="新增",IF(I20="高",H20*0.33,IF(I20="中",H20*0.67,H20)),H20*0.5)</f>
        <v/>
      </c>
      <c r="L20" s="13" t="inlineStr"/>
    </row>
    <row r="21" ht="30" customHeight="1">
      <c r="A21" s="12" t="n">
        <v>12</v>
      </c>
      <c r="B21" s="13" t="inlineStr">
        <is>
          <t>监控管理应用</t>
        </is>
      </c>
      <c r="C21" s="13" t="inlineStr">
        <is>
          <t>复盘流程</t>
        </is>
      </c>
      <c r="D21" s="13" t="inlineStr">
        <is>
          <t>复盘流程</t>
        </is>
      </c>
      <c r="E21" s="13" t="inlineStr">
        <is>
          <t>复盘新建</t>
        </is>
      </c>
      <c r="F21" s="13" t="inlineStr">
        <is>
          <t>同OLT预警数据源过滤</t>
        </is>
      </c>
      <c r="G21" s="12" t="inlineStr">
        <is>
          <t>EO</t>
        </is>
      </c>
      <c r="H21" s="14">
        <f>IF(G21="ILF",7,IF(G21="EO",5,IF(G21="EIF",5,IF(G21="EI",4,IF(G21="EQ",4,5)))))</f>
        <v/>
      </c>
      <c r="I21" s="12" t="inlineStr">
        <is>
          <t>高</t>
        </is>
      </c>
      <c r="J21" s="12" t="inlineStr">
        <is>
          <t>新增</t>
        </is>
      </c>
      <c r="K21" s="14">
        <f>IF(J21="新增",IF(I21="高",H21*0.33,IF(I21="中",H21*0.67,H21)),H21*0.5)</f>
        <v/>
      </c>
      <c r="L21" s="13" t="inlineStr"/>
    </row>
    <row r="22" ht="30" customHeight="1">
      <c r="A22" s="12" t="n">
        <v>13</v>
      </c>
      <c r="B22" s="13" t="inlineStr">
        <is>
          <t>监控管理应用</t>
        </is>
      </c>
      <c r="C22" s="13" t="inlineStr">
        <is>
          <t>复盘流程</t>
        </is>
      </c>
      <c r="D22" s="13" t="inlineStr">
        <is>
          <t>复盘流程</t>
        </is>
      </c>
      <c r="E22" s="13" t="inlineStr">
        <is>
          <t>复盘新建</t>
        </is>
      </c>
      <c r="F22" s="13" t="inlineStr">
        <is>
          <t>同OLT重复故障判定</t>
        </is>
      </c>
      <c r="G22" s="12" t="inlineStr">
        <is>
          <t>EO</t>
        </is>
      </c>
      <c r="H22" s="14">
        <f>IF(G22="ILF",7,IF(G22="EO",5,IF(G22="EIF",5,IF(G22="EI",4,IF(G22="EQ",4,5)))))</f>
        <v/>
      </c>
      <c r="I22" s="12" t="inlineStr">
        <is>
          <t>高</t>
        </is>
      </c>
      <c r="J22" s="12" t="inlineStr">
        <is>
          <t>新增</t>
        </is>
      </c>
      <c r="K22" s="14">
        <f>IF(J22="新增",IF(I22="高",H22*0.33,IF(I22="中",H22*0.67,H22)),H22*0.5)</f>
        <v/>
      </c>
      <c r="L22" s="13" t="inlineStr"/>
    </row>
    <row r="23" ht="30" customHeight="1">
      <c r="A23" s="12" t="n">
        <v>14</v>
      </c>
      <c r="B23" s="13" t="inlineStr">
        <is>
          <t>监控管理应用</t>
        </is>
      </c>
      <c r="C23" s="13" t="inlineStr">
        <is>
          <t>复盘流程</t>
        </is>
      </c>
      <c r="D23" s="13" t="inlineStr">
        <is>
          <t>复盘流程</t>
        </is>
      </c>
      <c r="E23" s="13" t="inlineStr">
        <is>
          <t>复盘新建</t>
        </is>
      </c>
      <c r="F23" s="13" t="inlineStr">
        <is>
          <t>省公司同OLT排查建议输出</t>
        </is>
      </c>
      <c r="G23" s="12" t="inlineStr">
        <is>
          <t>EO</t>
        </is>
      </c>
      <c r="H23" s="14">
        <f>IF(G23="ILF",7,IF(G23="EO",5,IF(G23="EIF",5,IF(G23="EI",4,IF(G23="EQ",4,5)))))</f>
        <v/>
      </c>
      <c r="I23" s="12" t="inlineStr">
        <is>
          <t>高</t>
        </is>
      </c>
      <c r="J23" s="12" t="inlineStr">
        <is>
          <t>新增</t>
        </is>
      </c>
      <c r="K23" s="14">
        <f>IF(J23="新增",IF(I23="高",H23*0.33,IF(I23="中",H23*0.67,H23)),H23*0.5)</f>
        <v/>
      </c>
      <c r="L23" s="13" t="inlineStr"/>
    </row>
    <row r="24" ht="30" customHeight="1">
      <c r="A24" s="12" t="n">
        <v>15</v>
      </c>
      <c r="B24" s="13" t="inlineStr">
        <is>
          <t>监控管理应用</t>
        </is>
      </c>
      <c r="C24" s="13" t="inlineStr">
        <is>
          <t>复盘流程</t>
        </is>
      </c>
      <c r="D24" s="13" t="inlineStr">
        <is>
          <t>复盘流程</t>
        </is>
      </c>
      <c r="E24" s="13" t="inlineStr">
        <is>
          <t>复盘新建</t>
        </is>
      </c>
      <c r="F24" s="13" t="inlineStr">
        <is>
          <t>停电欠压预警关联网络事件获取</t>
        </is>
      </c>
      <c r="G24" s="12" t="inlineStr">
        <is>
          <t>EO</t>
        </is>
      </c>
      <c r="H24" s="14">
        <f>IF(G24="ILF",7,IF(G24="EO",5,IF(G24="EIF",5,IF(G24="EI",4,IF(G24="EQ",4,5)))))</f>
        <v/>
      </c>
      <c r="I24" s="12" t="inlineStr">
        <is>
          <t>高</t>
        </is>
      </c>
      <c r="J24" s="12" t="inlineStr">
        <is>
          <t>新增</t>
        </is>
      </c>
      <c r="K24" s="14">
        <f>IF(J24="新增",IF(I24="高",H24*0.33,IF(I24="中",H24*0.67,H24)),H24*0.5)</f>
        <v/>
      </c>
      <c r="L24" s="13" t="inlineStr"/>
    </row>
    <row r="25" ht="30" customHeight="1">
      <c r="A25" s="12" t="n">
        <v>16</v>
      </c>
      <c r="B25" s="13" t="inlineStr">
        <is>
          <t>监控管理应用</t>
        </is>
      </c>
      <c r="C25" s="13" t="inlineStr">
        <is>
          <t>复盘流程</t>
        </is>
      </c>
      <c r="D25" s="13" t="inlineStr">
        <is>
          <t>复盘流程</t>
        </is>
      </c>
      <c r="E25" s="13" t="inlineStr">
        <is>
          <t>复盘新建</t>
        </is>
      </c>
      <c r="F25" s="13" t="inlineStr">
        <is>
          <t>网络事件表</t>
        </is>
      </c>
      <c r="G25" s="12" t="inlineStr">
        <is>
          <t>ILF</t>
        </is>
      </c>
      <c r="H25" s="14">
        <f>IF(G25="ILF",7,IF(G25="EO",5,IF(G25="EIF",5,IF(G25="EI",4,IF(G25="EQ",4,5)))))</f>
        <v/>
      </c>
      <c r="I25" s="12" t="inlineStr">
        <is>
          <t>高</t>
        </is>
      </c>
      <c r="J25" s="12" t="inlineStr">
        <is>
          <t>新增</t>
        </is>
      </c>
      <c r="K25" s="14">
        <f>IF(J25="新增",IF(I25="高",H25*0.33,IF(I25="中",H25*0.67,H25)),H25*0.5)</f>
        <v/>
      </c>
      <c r="L25" s="13" t="inlineStr"/>
    </row>
    <row r="26" ht="30" customHeight="1">
      <c r="A26" s="12" t="n">
        <v>17</v>
      </c>
      <c r="B26" s="13" t="inlineStr">
        <is>
          <t>监控管理应用</t>
        </is>
      </c>
      <c r="C26" s="13" t="inlineStr">
        <is>
          <t>复盘流程</t>
        </is>
      </c>
      <c r="D26" s="13" t="inlineStr">
        <is>
          <t>复盘流程</t>
        </is>
      </c>
      <c r="E26" s="13" t="inlineStr">
        <is>
          <t>复盘新建</t>
        </is>
      </c>
      <c r="F26" s="13" t="inlineStr">
        <is>
          <t>停电欠压重复故障判定</t>
        </is>
      </c>
      <c r="G26" s="12" t="inlineStr">
        <is>
          <t>EO</t>
        </is>
      </c>
      <c r="H26" s="14">
        <f>IF(G26="ILF",7,IF(G26="EO",5,IF(G26="EIF",5,IF(G26="EI",4,IF(G26="EQ",4,5)))))</f>
        <v/>
      </c>
      <c r="I26" s="12" t="inlineStr">
        <is>
          <t>高</t>
        </is>
      </c>
      <c r="J26" s="12" t="inlineStr">
        <is>
          <t>新增</t>
        </is>
      </c>
      <c r="K26" s="14">
        <f>IF(J26="新增",IF(I26="高",H26*0.33,IF(I26="中",H26*0.67,H26)),H26*0.5)</f>
        <v/>
      </c>
      <c r="L26" s="13" t="inlineStr"/>
    </row>
    <row r="27" ht="30" customHeight="1">
      <c r="A27" s="12" t="n">
        <v>18</v>
      </c>
      <c r="B27" s="13" t="inlineStr">
        <is>
          <t>监控管理应用</t>
        </is>
      </c>
      <c r="C27" s="13" t="inlineStr">
        <is>
          <t>复盘流程</t>
        </is>
      </c>
      <c r="D27" s="13" t="inlineStr">
        <is>
          <t>复盘流程</t>
        </is>
      </c>
      <c r="E27" s="13" t="inlineStr">
        <is>
          <t>复盘新建</t>
        </is>
      </c>
      <c r="F27" s="13" t="inlineStr">
        <is>
          <t>停电欠压枚举配置化处理</t>
        </is>
      </c>
      <c r="G27" s="12" t="inlineStr">
        <is>
          <t>EO</t>
        </is>
      </c>
      <c r="H27" s="14">
        <f>IF(G27="ILF",7,IF(G27="EO",5,IF(G27="EIF",5,IF(G27="EI",4,IF(G27="EQ",4,5)))))</f>
        <v/>
      </c>
      <c r="I27" s="12" t="inlineStr">
        <is>
          <t>高</t>
        </is>
      </c>
      <c r="J27" s="12" t="inlineStr">
        <is>
          <t>新增</t>
        </is>
      </c>
      <c r="K27" s="14">
        <f>IF(J27="新增",IF(I27="高",H27*0.33,IF(I27="中",H27*0.67,H27)),H27*0.5)</f>
        <v/>
      </c>
      <c r="L27" s="13" t="inlineStr"/>
    </row>
    <row r="28" ht="30" customHeight="1">
      <c r="A28" s="12" t="n">
        <v>19</v>
      </c>
      <c r="B28" s="13" t="inlineStr">
        <is>
          <t>监控管理应用</t>
        </is>
      </c>
      <c r="C28" s="13" t="inlineStr">
        <is>
          <t>复盘流程</t>
        </is>
      </c>
      <c r="D28" s="13" t="inlineStr">
        <is>
          <t>复盘流程</t>
        </is>
      </c>
      <c r="E28" s="13" t="inlineStr">
        <is>
          <t>复盘新建</t>
        </is>
      </c>
      <c r="F28" s="13" t="inlineStr">
        <is>
          <t>停电欠压枚举配置表</t>
        </is>
      </c>
      <c r="G28" s="12" t="inlineStr">
        <is>
          <t>ILF</t>
        </is>
      </c>
      <c r="H28" s="14">
        <f>IF(G28="ILF",7,IF(G28="EO",5,IF(G28="EIF",5,IF(G28="EI",4,IF(G28="EQ",4,5)))))</f>
        <v/>
      </c>
      <c r="I28" s="12" t="inlineStr">
        <is>
          <t>高</t>
        </is>
      </c>
      <c r="J28" s="12" t="inlineStr">
        <is>
          <t>新增</t>
        </is>
      </c>
      <c r="K28" s="14">
        <f>IF(J28="新增",IF(I28="高",H28*0.33,IF(I28="中",H28*0.67,H28)),H28*0.5)</f>
        <v/>
      </c>
      <c r="L28" s="13" t="inlineStr"/>
    </row>
    <row r="29" ht="30" customHeight="1">
      <c r="A29" s="12" t="n">
        <v>20</v>
      </c>
      <c r="B29" s="13" t="inlineStr">
        <is>
          <t>监控管理应用</t>
        </is>
      </c>
      <c r="C29" s="13" t="inlineStr">
        <is>
          <t>复盘流程</t>
        </is>
      </c>
      <c r="D29" s="13" t="inlineStr">
        <is>
          <t>复盘流程</t>
        </is>
      </c>
      <c r="E29" s="13" t="inlineStr">
        <is>
          <t>复盘新建</t>
        </is>
      </c>
      <c r="F29" s="13" t="inlineStr">
        <is>
          <t>枚举值查询</t>
        </is>
      </c>
      <c r="G29" s="12" t="inlineStr">
        <is>
          <t>EQ</t>
        </is>
      </c>
      <c r="H29" s="14">
        <f>IF(G29="ILF",7,IF(G29="EO",5,IF(G29="EIF",5,IF(G29="EI",4,IF(G29="EQ",4,5)))))</f>
        <v/>
      </c>
      <c r="I29" s="12" t="inlineStr">
        <is>
          <t>高</t>
        </is>
      </c>
      <c r="J29" s="12" t="inlineStr">
        <is>
          <t>新增</t>
        </is>
      </c>
      <c r="K29" s="14">
        <f>IF(J29="新增",IF(I29="高",H29*0.33,IF(I29="中",H29*0.67,H29)),H29*0.5)</f>
        <v/>
      </c>
      <c r="L29" s="13" t="inlineStr">
        <is>
          <t>AI 拆分自：停电欠压枚举配置表</t>
        </is>
      </c>
    </row>
    <row r="30" ht="30" customHeight="1">
      <c r="A30" s="12" t="n">
        <v>21</v>
      </c>
      <c r="B30" s="13" t="inlineStr">
        <is>
          <t>监控管理应用</t>
        </is>
      </c>
      <c r="C30" s="13" t="inlineStr">
        <is>
          <t>复盘流程</t>
        </is>
      </c>
      <c r="D30" s="13" t="inlineStr">
        <is>
          <t>复盘流程</t>
        </is>
      </c>
      <c r="E30" s="13" t="inlineStr">
        <is>
          <t>复盘新建</t>
        </is>
      </c>
      <c r="F30" s="13" t="inlineStr">
        <is>
          <t>枚举参数配置</t>
        </is>
      </c>
      <c r="G30" s="12" t="inlineStr">
        <is>
          <t>EO</t>
        </is>
      </c>
      <c r="H30" s="14">
        <f>IF(G30="ILF",7,IF(G30="EO",5,IF(G30="EIF",5,IF(G30="EI",4,IF(G30="EQ",4,5)))))</f>
        <v/>
      </c>
      <c r="I30" s="12" t="inlineStr">
        <is>
          <t>高</t>
        </is>
      </c>
      <c r="J30" s="12" t="inlineStr">
        <is>
          <t>新增</t>
        </is>
      </c>
      <c r="K30" s="14">
        <f>IF(J30="新增",IF(I30="高",H30*0.33,IF(I30="中",H30*0.67,H30)),H30*0.5)</f>
        <v/>
      </c>
      <c r="L30" s="13" t="inlineStr">
        <is>
          <t>AI 拆分自：停电欠压枚举配置表</t>
        </is>
      </c>
    </row>
    <row r="31" ht="30" customHeight="1">
      <c r="A31" s="12" t="n">
        <v>22</v>
      </c>
      <c r="B31" s="13" t="inlineStr">
        <is>
          <t>监控管理应用</t>
        </is>
      </c>
      <c r="C31" s="13" t="inlineStr">
        <is>
          <t>复盘流程</t>
        </is>
      </c>
      <c r="D31" s="13" t="inlineStr">
        <is>
          <t>复盘流程</t>
        </is>
      </c>
      <c r="E31" s="13" t="inlineStr">
        <is>
          <t>复盘新建</t>
        </is>
      </c>
      <c r="F31" s="13" t="inlineStr">
        <is>
          <t>枚举规则校验</t>
        </is>
      </c>
      <c r="G31" s="12" t="inlineStr">
        <is>
          <t>EO</t>
        </is>
      </c>
      <c r="H31" s="14">
        <f>IF(G31="ILF",7,IF(G31="EO",5,IF(G31="EIF",5,IF(G31="EI",4,IF(G31="EQ",4,5)))))</f>
        <v/>
      </c>
      <c r="I31" s="12" t="inlineStr">
        <is>
          <t>高</t>
        </is>
      </c>
      <c r="J31" s="12" t="inlineStr">
        <is>
          <t>新增</t>
        </is>
      </c>
      <c r="K31" s="14">
        <f>IF(J31="新增",IF(I31="高",H31*0.33,IF(I31="中",H31*0.67,H31)),H31*0.5)</f>
        <v/>
      </c>
      <c r="L31" s="13" t="inlineStr">
        <is>
          <t>AI 拆分自：停电欠压枚举配置表</t>
        </is>
      </c>
    </row>
    <row r="32" ht="30" customHeight="1">
      <c r="A32" s="12" t="n">
        <v>23</v>
      </c>
      <c r="B32" s="13" t="inlineStr">
        <is>
          <t>监控管理应用</t>
        </is>
      </c>
      <c r="C32" s="13" t="inlineStr">
        <is>
          <t>复盘流程</t>
        </is>
      </c>
      <c r="D32" s="13" t="inlineStr">
        <is>
          <t>复盘流程</t>
        </is>
      </c>
      <c r="E32" s="13" t="inlineStr">
        <is>
          <t>复盘新建</t>
        </is>
      </c>
      <c r="F32" s="13" t="inlineStr">
        <is>
          <t>省公司停电欠压排查建议输出</t>
        </is>
      </c>
      <c r="G32" s="12" t="inlineStr">
        <is>
          <t>EO</t>
        </is>
      </c>
      <c r="H32" s="14">
        <f>IF(G32="ILF",7,IF(G32="EO",5,IF(G32="EIF",5,IF(G32="EI",4,IF(G32="EQ",4,5)))))</f>
        <v/>
      </c>
      <c r="I32" s="12" t="inlineStr">
        <is>
          <t>高</t>
        </is>
      </c>
      <c r="J32" s="12" t="inlineStr">
        <is>
          <t>新增</t>
        </is>
      </c>
      <c r="K32" s="14">
        <f>IF(J32="新增",IF(I32="高",H32*0.33,IF(I32="中",H32*0.67,H32)),H32*0.5)</f>
        <v/>
      </c>
      <c r="L32" s="13" t="inlineStr"/>
    </row>
    <row r="33" ht="30" customHeight="1">
      <c r="A33" s="12" t="n">
        <v>24</v>
      </c>
      <c r="B33" s="13" t="inlineStr">
        <is>
          <t>监控管理应用</t>
        </is>
      </c>
      <c r="C33" s="13" t="inlineStr">
        <is>
          <t>复盘流程</t>
        </is>
      </c>
      <c r="D33" s="13" t="inlineStr">
        <is>
          <t>复盘流程</t>
        </is>
      </c>
      <c r="E33" s="13" t="inlineStr">
        <is>
          <t>复盘新建</t>
        </is>
      </c>
      <c r="F33" s="13" t="inlineStr">
        <is>
          <t>工程预警数据过滤及标签输出</t>
        </is>
      </c>
      <c r="G33" s="12" t="inlineStr">
        <is>
          <t>EO</t>
        </is>
      </c>
      <c r="H33" s="14">
        <f>IF(G33="ILF",7,IF(G33="EO",5,IF(G33="EIF",5,IF(G33="EI",4,IF(G33="EQ",4,5)))))</f>
        <v/>
      </c>
      <c r="I33" s="12" t="inlineStr">
        <is>
          <t>高</t>
        </is>
      </c>
      <c r="J33" s="12" t="inlineStr">
        <is>
          <t>新增</t>
        </is>
      </c>
      <c r="K33" s="14">
        <f>IF(J33="新增",IF(I33="高",H33*0.33,IF(I33="中",H33*0.67,H33)),H33*0.5)</f>
        <v/>
      </c>
      <c r="L33" s="13" t="inlineStr"/>
    </row>
    <row r="34" ht="30" customHeight="1">
      <c r="A34" s="12" t="n">
        <v>25</v>
      </c>
      <c r="B34" s="13" t="inlineStr">
        <is>
          <t>监控管理应用</t>
        </is>
      </c>
      <c r="C34" s="13" t="inlineStr">
        <is>
          <t>复盘流程</t>
        </is>
      </c>
      <c r="D34" s="13" t="inlineStr">
        <is>
          <t>复盘流程</t>
        </is>
      </c>
      <c r="E34" s="13" t="inlineStr">
        <is>
          <t>复盘新建</t>
        </is>
      </c>
      <c r="F34" s="13" t="inlineStr">
        <is>
          <t>省公司工程操作排查建议输出</t>
        </is>
      </c>
      <c r="G34" s="12" t="inlineStr">
        <is>
          <t>EO</t>
        </is>
      </c>
      <c r="H34" s="14">
        <f>IF(G34="ILF",7,IF(G34="EO",5,IF(G34="EIF",5,IF(G34="EI",4,IF(G34="EQ",4,5)))))</f>
        <v/>
      </c>
      <c r="I34" s="12" t="inlineStr">
        <is>
          <t>高</t>
        </is>
      </c>
      <c r="J34" s="12" t="inlineStr">
        <is>
          <t>新增</t>
        </is>
      </c>
      <c r="K34" s="14">
        <f>IF(J34="新增",IF(I34="高",H34*0.33,IF(I34="中",H34*0.67,H34)),H34*0.5)</f>
        <v/>
      </c>
      <c r="L34" s="13" t="inlineStr"/>
    </row>
    <row r="35" ht="30" customHeight="1">
      <c r="A35" s="12" t="n">
        <v>26</v>
      </c>
      <c r="B35" s="13" t="inlineStr">
        <is>
          <t>监控管理应用</t>
        </is>
      </c>
      <c r="C35" s="13" t="inlineStr">
        <is>
          <t>复盘流程</t>
        </is>
      </c>
      <c r="D35" s="13" t="inlineStr">
        <is>
          <t>复盘流程</t>
        </is>
      </c>
      <c r="E35" s="13" t="inlineStr">
        <is>
          <t>复盘新建</t>
        </is>
      </c>
      <c r="F35" s="13" t="inlineStr">
        <is>
          <t>省公司隐患规则关联输出</t>
        </is>
      </c>
      <c r="G35" s="12" t="inlineStr">
        <is>
          <t>EO</t>
        </is>
      </c>
      <c r="H35" s="14">
        <f>IF(G35="ILF",7,IF(G35="EO",5,IF(G35="EIF",5,IF(G35="EI",4,IF(G35="EQ",4,5)))))</f>
        <v/>
      </c>
      <c r="I35" s="12" t="inlineStr">
        <is>
          <t>高</t>
        </is>
      </c>
      <c r="J35" s="12" t="inlineStr">
        <is>
          <t>新增</t>
        </is>
      </c>
      <c r="K35" s="14">
        <f>IF(J35="新增",IF(I35="高",H35*0.33,IF(I35="中",H35*0.67,H35)),H35*0.5)</f>
        <v/>
      </c>
      <c r="L35" s="13" t="inlineStr"/>
    </row>
    <row r="36" ht="30" customHeight="1">
      <c r="A36" s="12" t="n">
        <v>27</v>
      </c>
      <c r="B36" s="13" t="inlineStr">
        <is>
          <t>监控管理应用</t>
        </is>
      </c>
      <c r="C36" s="13" t="inlineStr">
        <is>
          <t>复盘流程</t>
        </is>
      </c>
      <c r="D36" s="13" t="inlineStr">
        <is>
          <t>复盘流程</t>
        </is>
      </c>
      <c r="E36" s="13" t="inlineStr">
        <is>
          <t>复盘新建</t>
        </is>
      </c>
      <c r="F36" s="13" t="inlineStr">
        <is>
          <t>预警隐患专业配置化</t>
        </is>
      </c>
      <c r="G36" s="12" t="inlineStr">
        <is>
          <t>ILF</t>
        </is>
      </c>
      <c r="H36" s="14">
        <f>IF(G36="ILF",7,IF(G36="EO",5,IF(G36="EIF",5,IF(G36="EI",4,IF(G36="EQ",4,5)))))</f>
        <v/>
      </c>
      <c r="I36" s="12" t="inlineStr">
        <is>
          <t>高</t>
        </is>
      </c>
      <c r="J36" s="12" t="inlineStr">
        <is>
          <t>新增</t>
        </is>
      </c>
      <c r="K36" s="14">
        <f>IF(J36="新增",IF(I36="高",H36*0.33,IF(I36="中",H36*0.67,H36)),H36*0.5)</f>
        <v/>
      </c>
      <c r="L36" s="13" t="inlineStr"/>
    </row>
    <row r="37" ht="30" customHeight="1">
      <c r="A37" s="12" t="n">
        <v>28</v>
      </c>
      <c r="B37" s="13" t="inlineStr">
        <is>
          <t>监控管理应用</t>
        </is>
      </c>
      <c r="C37" s="13" t="inlineStr">
        <is>
          <t>复盘流程</t>
        </is>
      </c>
      <c r="D37" s="13" t="inlineStr">
        <is>
          <t>复盘流程</t>
        </is>
      </c>
      <c r="E37" s="13" t="inlineStr">
        <is>
          <t>复盘新建</t>
        </is>
      </c>
      <c r="F37" s="13" t="inlineStr">
        <is>
          <t>隐患规则配置表</t>
        </is>
      </c>
      <c r="G37" s="12" t="inlineStr">
        <is>
          <t>ILF</t>
        </is>
      </c>
      <c r="H37" s="14">
        <f>IF(G37="ILF",7,IF(G37="EO",5,IF(G37="EIF",5,IF(G37="EI",4,IF(G37="EQ",4,5)))))</f>
        <v/>
      </c>
      <c r="I37" s="12" t="inlineStr">
        <is>
          <t>高</t>
        </is>
      </c>
      <c r="J37" s="12" t="inlineStr">
        <is>
          <t>新增</t>
        </is>
      </c>
      <c r="K37" s="14">
        <f>IF(J37="新增",IF(I37="高",H37*0.33,IF(I37="中",H37*0.67,H37)),H37*0.5)</f>
        <v/>
      </c>
      <c r="L37" s="13" t="inlineStr"/>
    </row>
    <row r="38" ht="30" customHeight="1">
      <c r="A38" s="12" t="n">
        <v>29</v>
      </c>
      <c r="B38" s="13" t="inlineStr">
        <is>
          <t>监控管理应用</t>
        </is>
      </c>
      <c r="C38" s="13" t="inlineStr">
        <is>
          <t>复盘流程</t>
        </is>
      </c>
      <c r="D38" s="13" t="inlineStr">
        <is>
          <t>复盘流程</t>
        </is>
      </c>
      <c r="E38" s="13" t="inlineStr">
        <is>
          <t>复盘新建</t>
        </is>
      </c>
      <c r="F38" s="13" t="inlineStr">
        <is>
          <t>隐患规则呈现</t>
        </is>
      </c>
      <c r="G38" s="12" t="inlineStr">
        <is>
          <t>EQ</t>
        </is>
      </c>
      <c r="H38" s="14">
        <f>IF(G38="ILF",7,IF(G38="EO",5,IF(G38="EIF",5,IF(G38="EI",4,IF(G38="EQ",4,5)))))</f>
        <v/>
      </c>
      <c r="I38" s="12" t="inlineStr">
        <is>
          <t>高</t>
        </is>
      </c>
      <c r="J38" s="12" t="inlineStr">
        <is>
          <t>新增</t>
        </is>
      </c>
      <c r="K38" s="14">
        <f>IF(J38="新增",IF(I38="高",H38*0.33,IF(I38="中",H38*0.67,H38)),H38*0.5)</f>
        <v/>
      </c>
      <c r="L38" s="13" t="inlineStr"/>
    </row>
    <row r="39" ht="30" customHeight="1">
      <c r="A39" s="12" t="n">
        <v>30</v>
      </c>
      <c r="B39" s="13" t="inlineStr">
        <is>
          <t>监控管理应用</t>
        </is>
      </c>
      <c r="C39" s="13" t="inlineStr">
        <is>
          <t>复盘流程</t>
        </is>
      </c>
      <c r="D39" s="13" t="inlineStr">
        <is>
          <t>复盘流程</t>
        </is>
      </c>
      <c r="E39" s="13" t="inlineStr">
        <is>
          <t>复盘新建</t>
        </is>
      </c>
      <c r="F39" s="13" t="inlineStr">
        <is>
          <t>隐患工单数据过滤</t>
        </is>
      </c>
      <c r="G39" s="12" t="inlineStr">
        <is>
          <t>EO</t>
        </is>
      </c>
      <c r="H39" s="14">
        <f>IF(G39="ILF",7,IF(G39="EO",5,IF(G39="EIF",5,IF(G39="EI",4,IF(G39="EQ",4,5)))))</f>
        <v/>
      </c>
      <c r="I39" s="12" t="inlineStr">
        <is>
          <t>高</t>
        </is>
      </c>
      <c r="J39" s="12" t="inlineStr">
        <is>
          <t>新增</t>
        </is>
      </c>
      <c r="K39" s="14">
        <f>IF(J39="新增",IF(I39="高",H39*0.33,IF(I39="中",H39*0.67,H39)),H39*0.5)</f>
        <v/>
      </c>
      <c r="L39" s="13" t="inlineStr"/>
    </row>
    <row r="40" ht="30" customHeight="1">
      <c r="A40" s="12" t="n">
        <v>31</v>
      </c>
      <c r="B40" s="13" t="inlineStr">
        <is>
          <t>监控管理应用</t>
        </is>
      </c>
      <c r="C40" s="13" t="inlineStr">
        <is>
          <t>复盘流程</t>
        </is>
      </c>
      <c r="D40" s="13" t="inlineStr">
        <is>
          <t>复盘流程</t>
        </is>
      </c>
      <c r="E40" s="13" t="inlineStr">
        <is>
          <t>复盘新建</t>
        </is>
      </c>
      <c r="F40" s="13" t="inlineStr">
        <is>
          <t>复盘隐患工单数据自动关联回填</t>
        </is>
      </c>
      <c r="G40" s="12" t="inlineStr">
        <is>
          <t>EO</t>
        </is>
      </c>
      <c r="H40" s="14">
        <f>IF(G40="ILF",7,IF(G40="EO",5,IF(G40="EIF",5,IF(G40="EI",4,IF(G40="EQ",4,5)))))</f>
        <v/>
      </c>
      <c r="I40" s="12" t="inlineStr">
        <is>
          <t>高</t>
        </is>
      </c>
      <c r="J40" s="12" t="inlineStr">
        <is>
          <t>新增</t>
        </is>
      </c>
      <c r="K40" s="14">
        <f>IF(J40="新增",IF(I40="高",H40*0.33,IF(I40="中",H40*0.67,H40)),H40*0.5)</f>
        <v/>
      </c>
      <c r="L40" s="13" t="inlineStr"/>
    </row>
    <row r="41" ht="30" customHeight="1">
      <c r="A41" s="12" t="n">
        <v>32</v>
      </c>
      <c r="B41" s="13" t="inlineStr">
        <is>
          <t>监控管理应用</t>
        </is>
      </c>
      <c r="C41" s="13" t="inlineStr">
        <is>
          <t>复盘流程</t>
        </is>
      </c>
      <c r="D41" s="13" t="inlineStr">
        <is>
          <t>复盘流程</t>
        </is>
      </c>
      <c r="E41" s="13" t="inlineStr">
        <is>
          <t>复盘新建</t>
        </is>
      </c>
      <c r="F41" s="13" t="inlineStr">
        <is>
          <t>隐患工单级别和处理时限字段修改</t>
        </is>
      </c>
      <c r="G41" s="12" t="inlineStr">
        <is>
          <t>EI</t>
        </is>
      </c>
      <c r="H41" s="14">
        <f>IF(G41="ILF",7,IF(G41="EO",5,IF(G41="EIF",5,IF(G41="EI",4,IF(G41="EQ",4,5)))))</f>
        <v/>
      </c>
      <c r="I41" s="12" t="inlineStr">
        <is>
          <t>高</t>
        </is>
      </c>
      <c r="J41" s="12" t="inlineStr">
        <is>
          <t>新增</t>
        </is>
      </c>
      <c r="K41" s="14">
        <f>IF(J41="新增",IF(I41="高",H41*0.33,IF(I41="中",H41*0.67,H41)),H41*0.5)</f>
        <v/>
      </c>
      <c r="L41" s="13" t="inlineStr"/>
    </row>
    <row r="42" ht="30" customHeight="1">
      <c r="A42" s="12" t="n">
        <v>33</v>
      </c>
      <c r="B42" s="13" t="inlineStr">
        <is>
          <t>监控管理应用</t>
        </is>
      </c>
      <c r="C42" s="13" t="inlineStr">
        <is>
          <t>复盘流程</t>
        </is>
      </c>
      <c r="D42" s="13" t="inlineStr">
        <is>
          <t>复盘流程</t>
        </is>
      </c>
      <c r="E42" s="13" t="inlineStr">
        <is>
          <t>复盘新建</t>
        </is>
      </c>
      <c r="F42" s="13" t="inlineStr">
        <is>
          <t>预警表回填隐患号</t>
        </is>
      </c>
      <c r="G42" s="12" t="inlineStr">
        <is>
          <t>ILF</t>
        </is>
      </c>
      <c r="H42" s="14">
        <f>IF(G42="ILF",7,IF(G42="EO",5,IF(G42="EIF",5,IF(G42="EI",4,IF(G42="EQ",4,5)))))</f>
        <v/>
      </c>
      <c r="I42" s="12" t="inlineStr">
        <is>
          <t>高</t>
        </is>
      </c>
      <c r="J42" s="12" t="inlineStr">
        <is>
          <t>新增</t>
        </is>
      </c>
      <c r="K42" s="14">
        <f>IF(J42="新增",IF(I42="高",H42*0.33,IF(I42="中",H42*0.67,H42)),H42*0.5)</f>
        <v/>
      </c>
      <c r="L42" s="13" t="inlineStr"/>
    </row>
    <row r="43" ht="30" customHeight="1">
      <c r="A43" s="12" t="n">
        <v>34</v>
      </c>
      <c r="B43" s="13" t="inlineStr">
        <is>
          <t>监控管理应用</t>
        </is>
      </c>
      <c r="C43" s="13" t="inlineStr">
        <is>
          <t>复盘流程</t>
        </is>
      </c>
      <c r="D43" s="13" t="inlineStr">
        <is>
          <t>复盘流程</t>
        </is>
      </c>
      <c r="E43" s="13" t="inlineStr">
        <is>
          <t>复盘新建</t>
        </is>
      </c>
      <c r="F43" s="13" t="inlineStr">
        <is>
          <t>预警信息表</t>
        </is>
      </c>
      <c r="G43" s="12" t="inlineStr">
        <is>
          <t>ILF</t>
        </is>
      </c>
      <c r="H43" s="14">
        <f>IF(G43="ILF",7,IF(G43="EO",5,IF(G43="EIF",5,IF(G43="EI",4,IF(G43="EQ",4,5)))))</f>
        <v/>
      </c>
      <c r="I43" s="12" t="inlineStr">
        <is>
          <t>高</t>
        </is>
      </c>
      <c r="J43" s="12" t="inlineStr">
        <is>
          <t>新增</t>
        </is>
      </c>
      <c r="K43" s="14">
        <f>IF(J43="新增",IF(I43="高",H43*0.33,IF(I43="中",H43*0.67,H43)),H43*0.5)</f>
        <v/>
      </c>
      <c r="L43" s="13" t="inlineStr"/>
    </row>
    <row r="44" ht="30" customHeight="1">
      <c r="A44" s="12" t="n">
        <v>35</v>
      </c>
      <c r="B44" s="13" t="inlineStr">
        <is>
          <t>监控管理应用</t>
        </is>
      </c>
      <c r="C44" s="13" t="inlineStr">
        <is>
          <t>复盘流程</t>
        </is>
      </c>
      <c r="D44" s="13" t="inlineStr">
        <is>
          <t>复盘流程</t>
        </is>
      </c>
      <c r="E44" s="13" t="inlineStr">
        <is>
          <t>复盘新建</t>
        </is>
      </c>
      <c r="F44" s="13" t="inlineStr">
        <is>
          <t>隐患工单新建重要信息自动带入</t>
        </is>
      </c>
      <c r="G44" s="12" t="inlineStr">
        <is>
          <t>EO</t>
        </is>
      </c>
      <c r="H44" s="14">
        <f>IF(G44="ILF",7,IF(G44="EO",5,IF(G44="EIF",5,IF(G44="EI",4,IF(G44="EQ",4,5)))))</f>
        <v/>
      </c>
      <c r="I44" s="12" t="inlineStr">
        <is>
          <t>高</t>
        </is>
      </c>
      <c r="J44" s="12" t="inlineStr">
        <is>
          <t>新增</t>
        </is>
      </c>
      <c r="K44" s="14">
        <f>IF(J44="新增",IF(I44="高",H44*0.33,IF(I44="中",H44*0.67,H44)),H44*0.5)</f>
        <v/>
      </c>
      <c r="L44" s="13" t="inlineStr"/>
    </row>
    <row r="45" ht="30" customHeight="1">
      <c r="A45" s="12" t="n">
        <v>36</v>
      </c>
      <c r="B45" s="13" t="inlineStr">
        <is>
          <t>监控管理应用</t>
        </is>
      </c>
      <c r="C45" s="13" t="inlineStr">
        <is>
          <t>复盘流程</t>
        </is>
      </c>
      <c r="D45" s="13" t="inlineStr">
        <is>
          <t>复盘流程</t>
        </is>
      </c>
      <c r="E45" s="13" t="inlineStr">
        <is>
          <t>复盘新建</t>
        </is>
      </c>
      <c r="F45" s="13" t="inlineStr">
        <is>
          <t>隐患工单表</t>
        </is>
      </c>
      <c r="G45" s="12" t="inlineStr">
        <is>
          <t>ILF</t>
        </is>
      </c>
      <c r="H45" s="14">
        <f>IF(G45="ILF",7,IF(G45="EO",5,IF(G45="EIF",5,IF(G45="EI",4,IF(G45="EQ",4,5)))))</f>
        <v/>
      </c>
      <c r="I45" s="12" t="inlineStr">
        <is>
          <t>高</t>
        </is>
      </c>
      <c r="J45" s="12" t="inlineStr">
        <is>
          <t>新增</t>
        </is>
      </c>
      <c r="K45" s="14">
        <f>IF(J45="新增",IF(I45="高",H45*0.33,IF(I45="中",H45*0.67,H45)),H45*0.5)</f>
        <v/>
      </c>
      <c r="L45" s="13" t="inlineStr"/>
    </row>
    <row r="46" ht="30" customHeight="1">
      <c r="A46" s="12" t="n">
        <v>37</v>
      </c>
      <c r="B46" s="13" t="inlineStr">
        <is>
          <t>监控管理应用</t>
        </is>
      </c>
      <c r="C46" s="13" t="inlineStr">
        <is>
          <t>复盘流程</t>
        </is>
      </c>
      <c r="D46" s="13" t="inlineStr">
        <is>
          <t>复盘流程</t>
        </is>
      </c>
      <c r="E46" s="13" t="inlineStr">
        <is>
          <t>复盘新建</t>
        </is>
      </c>
      <c r="F46" s="13" t="inlineStr">
        <is>
          <t>复盘关联隐患工单列表呈现</t>
        </is>
      </c>
      <c r="G46" s="12" t="inlineStr">
        <is>
          <t>EO</t>
        </is>
      </c>
      <c r="H46" s="14">
        <f>IF(G46="ILF",7,IF(G46="EO",5,IF(G46="EIF",5,IF(G46="EI",4,IF(G46="EQ",4,5)))))</f>
        <v/>
      </c>
      <c r="I46" s="12" t="inlineStr">
        <is>
          <t>高</t>
        </is>
      </c>
      <c r="J46" s="12" t="inlineStr">
        <is>
          <t>新增</t>
        </is>
      </c>
      <c r="K46" s="14">
        <f>IF(J46="新增",IF(I46="高",H46*0.33,IF(I46="中",H46*0.67,H46)),H46*0.5)</f>
        <v/>
      </c>
      <c r="L46" s="13" t="inlineStr"/>
    </row>
    <row r="47" ht="30" customHeight="1">
      <c r="A47" s="12" t="n">
        <v>38</v>
      </c>
      <c r="B47" s="13" t="inlineStr">
        <is>
          <t>监控管理应用</t>
        </is>
      </c>
      <c r="C47" s="13" t="inlineStr">
        <is>
          <t>复盘流程</t>
        </is>
      </c>
      <c r="D47" s="13" t="inlineStr">
        <is>
          <t>复盘流程</t>
        </is>
      </c>
      <c r="E47" s="13" t="inlineStr">
        <is>
          <t>复盘新建</t>
        </is>
      </c>
      <c r="F47" s="13" t="inlineStr">
        <is>
          <t>复盘流水回填预警</t>
        </is>
      </c>
      <c r="G47" s="12" t="inlineStr">
        <is>
          <t>EO</t>
        </is>
      </c>
      <c r="H47" s="14">
        <f>IF(G47="ILF",7,IF(G47="EO",5,IF(G47="EIF",5,IF(G47="EI",4,IF(G47="EQ",4,5)))))</f>
        <v/>
      </c>
      <c r="I47" s="12" t="inlineStr">
        <is>
          <t>高</t>
        </is>
      </c>
      <c r="J47" s="12" t="inlineStr">
        <is>
          <t>新增</t>
        </is>
      </c>
      <c r="K47" s="14">
        <f>IF(J47="新增",IF(I47="高",H47*0.33,IF(I47="中",H47*0.67,H47)),H47*0.5)</f>
        <v/>
      </c>
      <c r="L47" s="13" t="inlineStr"/>
    </row>
    <row r="48" ht="30" customHeight="1">
      <c r="A48" s="12" t="n">
        <v>39</v>
      </c>
      <c r="B48" s="13" t="inlineStr">
        <is>
          <t>监控管理应用</t>
        </is>
      </c>
      <c r="C48" s="13" t="inlineStr">
        <is>
          <t>复盘流程</t>
        </is>
      </c>
      <c r="D48" s="13" t="inlineStr">
        <is>
          <t>复盘流程</t>
        </is>
      </c>
      <c r="E48" s="13" t="inlineStr">
        <is>
          <t>复盘新建</t>
        </is>
      </c>
      <c r="F48" s="13" t="inlineStr">
        <is>
          <t>是否GIS打点判断</t>
        </is>
      </c>
      <c r="G48" s="12" t="inlineStr">
        <is>
          <t>EO</t>
        </is>
      </c>
      <c r="H48" s="14">
        <f>IF(G48="ILF",7,IF(G48="EO",5,IF(G48="EIF",5,IF(G48="EI",4,IF(G48="EQ",4,5)))))</f>
        <v/>
      </c>
      <c r="I48" s="12" t="inlineStr">
        <is>
          <t>高</t>
        </is>
      </c>
      <c r="J48" s="12" t="inlineStr">
        <is>
          <t>新增</t>
        </is>
      </c>
      <c r="K48" s="14">
        <f>IF(J48="新增",IF(I48="高",H48*0.33,IF(I48="中",H48*0.67,H48)),H48*0.5)</f>
        <v/>
      </c>
      <c r="L48" s="13" t="inlineStr"/>
    </row>
    <row r="49" ht="30" customHeight="1">
      <c r="A49" s="12" t="n">
        <v>40</v>
      </c>
      <c r="B49" s="13" t="inlineStr">
        <is>
          <t>监控管理应用</t>
        </is>
      </c>
      <c r="C49" s="13" t="inlineStr">
        <is>
          <t>复盘流程</t>
        </is>
      </c>
      <c r="D49" s="13" t="inlineStr">
        <is>
          <t>复盘流程</t>
        </is>
      </c>
      <c r="E49" s="13" t="inlineStr">
        <is>
          <t>复盘新建</t>
        </is>
      </c>
      <c r="F49" s="13" t="inlineStr">
        <is>
          <t>故障抢修时限配置化处理</t>
        </is>
      </c>
      <c r="G49" s="12" t="inlineStr">
        <is>
          <t>EO</t>
        </is>
      </c>
      <c r="H49" s="14">
        <f>IF(G49="ILF",7,IF(G49="EO",5,IF(G49="EIF",5,IF(G49="EI",4,IF(G49="EQ",4,5)))))</f>
        <v/>
      </c>
      <c r="I49" s="12" t="inlineStr">
        <is>
          <t>高</t>
        </is>
      </c>
      <c r="J49" s="12" t="inlineStr">
        <is>
          <t>新增</t>
        </is>
      </c>
      <c r="K49" s="14">
        <f>IF(J49="新增",IF(I49="高",H49*0.33,IF(I49="中",H49*0.67,H49)),H49*0.5)</f>
        <v/>
      </c>
      <c r="L49" s="13" t="inlineStr"/>
    </row>
    <row r="50" ht="30" customHeight="1">
      <c r="A50" s="12" t="n">
        <v>41</v>
      </c>
      <c r="B50" s="13" t="inlineStr">
        <is>
          <t>监控管理应用</t>
        </is>
      </c>
      <c r="C50" s="13" t="inlineStr">
        <is>
          <t>复盘流程</t>
        </is>
      </c>
      <c r="D50" s="13" t="inlineStr">
        <is>
          <t>复盘流程</t>
        </is>
      </c>
      <c r="E50" s="13" t="inlineStr">
        <is>
          <t>复盘新建</t>
        </is>
      </c>
      <c r="F50" s="13" t="inlineStr">
        <is>
          <t>故障抢修时限配置表</t>
        </is>
      </c>
      <c r="G50" s="12" t="inlineStr">
        <is>
          <t>ILF</t>
        </is>
      </c>
      <c r="H50" s="14">
        <f>IF(G50="ILF",7,IF(G50="EO",5,IF(G50="EIF",5,IF(G50="EI",4,IF(G50="EQ",4,5)))))</f>
        <v/>
      </c>
      <c r="I50" s="12" t="inlineStr">
        <is>
          <t>高</t>
        </is>
      </c>
      <c r="J50" s="12" t="inlineStr">
        <is>
          <t>新增</t>
        </is>
      </c>
      <c r="K50" s="14">
        <f>IF(J50="新增",IF(I50="高",H50*0.33,IF(I50="中",H50*0.67,H50)),H50*0.5)</f>
        <v/>
      </c>
      <c r="L50" s="13" t="inlineStr"/>
    </row>
    <row r="51" ht="30" customHeight="1">
      <c r="A51" s="12" t="n">
        <v>42</v>
      </c>
      <c r="B51" s="13" t="inlineStr">
        <is>
          <t>监控管理应用</t>
        </is>
      </c>
      <c r="C51" s="13" t="inlineStr">
        <is>
          <t>复盘流程</t>
        </is>
      </c>
      <c r="D51" s="13" t="inlineStr">
        <is>
          <t>复盘流程</t>
        </is>
      </c>
      <c r="E51" s="13" t="inlineStr">
        <is>
          <t>复盘新建</t>
        </is>
      </c>
      <c r="F51" s="13" t="inlineStr">
        <is>
          <t>抢修时限查询</t>
        </is>
      </c>
      <c r="G51" s="12" t="inlineStr">
        <is>
          <t>EQ</t>
        </is>
      </c>
      <c r="H51" s="14">
        <f>IF(G51="ILF",7,IF(G51="EO",5,IF(G51="EIF",5,IF(G51="EI",4,IF(G51="EQ",4,5)))))</f>
        <v/>
      </c>
      <c r="I51" s="12" t="inlineStr">
        <is>
          <t>高</t>
        </is>
      </c>
      <c r="J51" s="12" t="inlineStr">
        <is>
          <t>新增</t>
        </is>
      </c>
      <c r="K51" s="14">
        <f>IF(J51="新增",IF(I51="高",H51*0.33,IF(I51="中",H51*0.67,H51)),H51*0.5)</f>
        <v/>
      </c>
      <c r="L51" s="13" t="inlineStr">
        <is>
          <t>AI 拆分自：故障抢修时限配置表</t>
        </is>
      </c>
    </row>
    <row r="52" ht="30" customHeight="1">
      <c r="A52" s="12" t="n">
        <v>43</v>
      </c>
      <c r="B52" s="13" t="inlineStr">
        <is>
          <t>监控管理应用</t>
        </is>
      </c>
      <c r="C52" s="13" t="inlineStr">
        <is>
          <t>复盘流程</t>
        </is>
      </c>
      <c r="D52" s="13" t="inlineStr">
        <is>
          <t>复盘流程</t>
        </is>
      </c>
      <c r="E52" s="13" t="inlineStr">
        <is>
          <t>复盘新建</t>
        </is>
      </c>
      <c r="F52" s="13" t="inlineStr">
        <is>
          <t>时限参数配置</t>
        </is>
      </c>
      <c r="G52" s="12" t="inlineStr">
        <is>
          <t>EO</t>
        </is>
      </c>
      <c r="H52" s="14">
        <f>IF(G52="ILF",7,IF(G52="EO",5,IF(G52="EIF",5,IF(G52="EI",4,IF(G52="EQ",4,5)))))</f>
        <v/>
      </c>
      <c r="I52" s="12" t="inlineStr">
        <is>
          <t>高</t>
        </is>
      </c>
      <c r="J52" s="12" t="inlineStr">
        <is>
          <t>新增</t>
        </is>
      </c>
      <c r="K52" s="14">
        <f>IF(J52="新增",IF(I52="高",H52*0.33,IF(I52="中",H52*0.67,H52)),H52*0.5)</f>
        <v/>
      </c>
      <c r="L52" s="13" t="inlineStr">
        <is>
          <t>AI 拆分自：故障抢修时限配置表</t>
        </is>
      </c>
    </row>
    <row r="53" ht="30" customHeight="1">
      <c r="A53" s="12" t="n">
        <v>44</v>
      </c>
      <c r="B53" s="13" t="inlineStr">
        <is>
          <t>监控管理应用</t>
        </is>
      </c>
      <c r="C53" s="13" t="inlineStr">
        <is>
          <t>复盘流程</t>
        </is>
      </c>
      <c r="D53" s="13" t="inlineStr">
        <is>
          <t>复盘流程</t>
        </is>
      </c>
      <c r="E53" s="13" t="inlineStr">
        <is>
          <t>复盘新建</t>
        </is>
      </c>
      <c r="F53" s="13" t="inlineStr">
        <is>
          <t>时限规则验证</t>
        </is>
      </c>
      <c r="G53" s="12" t="inlineStr">
        <is>
          <t>EO</t>
        </is>
      </c>
      <c r="H53" s="14">
        <f>IF(G53="ILF",7,IF(G53="EO",5,IF(G53="EIF",5,IF(G53="EI",4,IF(G53="EQ",4,5)))))</f>
        <v/>
      </c>
      <c r="I53" s="12" t="inlineStr">
        <is>
          <t>高</t>
        </is>
      </c>
      <c r="J53" s="12" t="inlineStr">
        <is>
          <t>新增</t>
        </is>
      </c>
      <c r="K53" s="14">
        <f>IF(J53="新增",IF(I53="高",H53*0.33,IF(I53="中",H53*0.67,H53)),H53*0.5)</f>
        <v/>
      </c>
      <c r="L53" s="13" t="inlineStr">
        <is>
          <t>AI 拆分自：故障抢修时限配置表</t>
        </is>
      </c>
    </row>
    <row r="54" ht="30" customHeight="1">
      <c r="A54" s="12" t="n">
        <v>45</v>
      </c>
      <c r="B54" s="13" t="inlineStr">
        <is>
          <t>监控管理应用</t>
        </is>
      </c>
      <c r="C54" s="13" t="inlineStr">
        <is>
          <t>复盘流程</t>
        </is>
      </c>
      <c r="D54" s="13" t="inlineStr">
        <is>
          <t>复盘流程</t>
        </is>
      </c>
      <c r="E54" s="13" t="inlineStr">
        <is>
          <t>复盘新建</t>
        </is>
      </c>
      <c r="F54" s="13" t="inlineStr">
        <is>
          <t>故障抢修是否超时判定</t>
        </is>
      </c>
      <c r="G54" s="12" t="inlineStr">
        <is>
          <t>EO</t>
        </is>
      </c>
      <c r="H54" s="14">
        <f>IF(G54="ILF",7,IF(G54="EO",5,IF(G54="EIF",5,IF(G54="EI",4,IF(G54="EQ",4,5)))))</f>
        <v/>
      </c>
      <c r="I54" s="12" t="inlineStr">
        <is>
          <t>高</t>
        </is>
      </c>
      <c r="J54" s="12" t="inlineStr">
        <is>
          <t>新增</t>
        </is>
      </c>
      <c r="K54" s="14">
        <f>IF(J54="新增",IF(I54="高",H54*0.33,IF(I54="中",H54*0.67,H54)),H54*0.5)</f>
        <v/>
      </c>
      <c r="L54" s="13" t="inlineStr"/>
    </row>
    <row r="55" ht="30" customHeight="1">
      <c r="A55" s="12" t="n">
        <v>46</v>
      </c>
      <c r="B55" s="13" t="inlineStr">
        <is>
          <t>监控管理应用</t>
        </is>
      </c>
      <c r="C55" s="13" t="inlineStr">
        <is>
          <t>复盘流程</t>
        </is>
      </c>
      <c r="D55" s="13" t="inlineStr">
        <is>
          <t>复盘流程</t>
        </is>
      </c>
      <c r="E55" s="13" t="inlineStr">
        <is>
          <t>复盘新建</t>
        </is>
      </c>
      <c r="F55" s="13" t="inlineStr">
        <is>
          <t>复盘工单自动创建</t>
        </is>
      </c>
      <c r="G55" s="12" t="inlineStr">
        <is>
          <t>EO</t>
        </is>
      </c>
      <c r="H55" s="14">
        <f>IF(G55="ILF",7,IF(G55="EO",5,IF(G55="EIF",5,IF(G55="EI",4,IF(G55="EQ",4,5)))))</f>
        <v/>
      </c>
      <c r="I55" s="12" t="inlineStr">
        <is>
          <t>高</t>
        </is>
      </c>
      <c r="J55" s="12" t="inlineStr">
        <is>
          <t>新增</t>
        </is>
      </c>
      <c r="K55" s="14">
        <f>IF(J55="新增",IF(I55="高",H55*0.33,IF(I55="中",H55*0.67,H55)),H55*0.5)</f>
        <v/>
      </c>
      <c r="L55" s="13" t="inlineStr"/>
    </row>
    <row r="56" ht="30" customHeight="1">
      <c r="A56" s="12" t="n">
        <v>47</v>
      </c>
      <c r="B56" s="13" t="inlineStr">
        <is>
          <t>监控管理应用</t>
        </is>
      </c>
      <c r="C56" s="13" t="inlineStr">
        <is>
          <t>复盘流程</t>
        </is>
      </c>
      <c r="D56" s="13" t="inlineStr">
        <is>
          <t>复盘流程</t>
        </is>
      </c>
      <c r="E56" s="13" t="inlineStr">
        <is>
          <t>复盘新建</t>
        </is>
      </c>
      <c r="F56" s="13" t="inlineStr">
        <is>
          <t>记录复盘工单流水</t>
        </is>
      </c>
      <c r="G56" s="12" t="inlineStr">
        <is>
          <t>EO</t>
        </is>
      </c>
      <c r="H56" s="14">
        <f>IF(G56="ILF",7,IF(G56="EO",5,IF(G56="EIF",5,IF(G56="EI",4,IF(G56="EQ",4,5)))))</f>
        <v/>
      </c>
      <c r="I56" s="12" t="inlineStr">
        <is>
          <t>高</t>
        </is>
      </c>
      <c r="J56" s="12" t="inlineStr">
        <is>
          <t>新增</t>
        </is>
      </c>
      <c r="K56" s="14">
        <f>IF(J56="新增",IF(I56="高",H56*0.33,IF(I56="中",H56*0.67,H56)),H56*0.5)</f>
        <v/>
      </c>
      <c r="L56" s="13" t="inlineStr"/>
    </row>
    <row r="57" ht="30" customHeight="1">
      <c r="A57" s="12" t="n">
        <v>48</v>
      </c>
      <c r="B57" s="13" t="inlineStr">
        <is>
          <t>监控管理应用</t>
        </is>
      </c>
      <c r="C57" s="13" t="inlineStr">
        <is>
          <t>复盘流程</t>
        </is>
      </c>
      <c r="D57" s="13" t="inlineStr">
        <is>
          <t>复盘流程</t>
        </is>
      </c>
      <c r="E57" s="13" t="inlineStr">
        <is>
          <t>复盘新建</t>
        </is>
      </c>
      <c r="F57" s="13" t="inlineStr">
        <is>
          <t>复盘流水记录表</t>
        </is>
      </c>
      <c r="G57" s="12" t="inlineStr">
        <is>
          <t>EO</t>
        </is>
      </c>
      <c r="H57" s="14">
        <f>IF(G57="ILF",7,IF(G57="EO",5,IF(G57="EIF",5,IF(G57="EI",4,IF(G57="EQ",4,5)))))</f>
        <v/>
      </c>
      <c r="I57" s="12" t="inlineStr">
        <is>
          <t>高</t>
        </is>
      </c>
      <c r="J57" s="12" t="inlineStr">
        <is>
          <t>新增</t>
        </is>
      </c>
      <c r="K57" s="14">
        <f>IF(J57="新增",IF(I57="高",H57*0.33,IF(I57="中",H57*0.67,H57)),H57*0.5)</f>
        <v/>
      </c>
      <c r="L57" s="13" t="inlineStr"/>
    </row>
    <row r="58" ht="30" customHeight="1">
      <c r="A58" s="12" t="n">
        <v>49</v>
      </c>
      <c r="B58" s="13" t="inlineStr">
        <is>
          <t>监控管理应用</t>
        </is>
      </c>
      <c r="C58" s="13" t="inlineStr">
        <is>
          <t>复盘流程</t>
        </is>
      </c>
      <c r="D58" s="13" t="inlineStr">
        <is>
          <t>复盘流程</t>
        </is>
      </c>
      <c r="E58" s="13" t="inlineStr">
        <is>
          <t>复盘新建</t>
        </is>
      </c>
      <c r="F58" s="13" t="inlineStr">
        <is>
          <t>根据省公司是否隐患判断地市专业室是否隐患默认值</t>
        </is>
      </c>
      <c r="G58" s="12" t="inlineStr">
        <is>
          <t>EO</t>
        </is>
      </c>
      <c r="H58" s="14">
        <f>IF(G58="ILF",7,IF(G58="EO",5,IF(G58="EIF",5,IF(G58="EI",4,IF(G58="EQ",4,5)))))</f>
        <v/>
      </c>
      <c r="I58" s="12" t="inlineStr">
        <is>
          <t>高</t>
        </is>
      </c>
      <c r="J58" s="12" t="inlineStr">
        <is>
          <t>新增</t>
        </is>
      </c>
      <c r="K58" s="14">
        <f>IF(J58="新增",IF(I58="高",H58*0.33,IF(I58="中",H58*0.67,H58)),H58*0.5)</f>
        <v/>
      </c>
      <c r="L58" s="13" t="inlineStr"/>
    </row>
    <row r="59" ht="30" customHeight="1">
      <c r="A59" s="12" t="n">
        <v>50</v>
      </c>
      <c r="B59" s="13" t="inlineStr">
        <is>
          <t>监控管理应用</t>
        </is>
      </c>
      <c r="C59" s="13" t="inlineStr">
        <is>
          <t>复盘流程</t>
        </is>
      </c>
      <c r="D59" s="13" t="inlineStr">
        <is>
          <t>复盘流程</t>
        </is>
      </c>
      <c r="E59" s="13" t="inlineStr">
        <is>
          <t>复盘新建</t>
        </is>
      </c>
      <c r="F59" s="13" t="inlineStr">
        <is>
          <t>地市专业室是否隐患意见录入</t>
        </is>
      </c>
      <c r="G59" s="12" t="inlineStr">
        <is>
          <t>EI</t>
        </is>
      </c>
      <c r="H59" s="14">
        <f>IF(G59="ILF",7,IF(G59="EO",5,IF(G59="EIF",5,IF(G59="EI",4,IF(G59="EQ",4,5)))))</f>
        <v/>
      </c>
      <c r="I59" s="12" t="inlineStr">
        <is>
          <t>高</t>
        </is>
      </c>
      <c r="J59" s="12" t="inlineStr">
        <is>
          <t>新增</t>
        </is>
      </c>
      <c r="K59" s="14">
        <f>IF(J59="新增",IF(I59="高",H59*0.33,IF(I59="中",H59*0.67,H59)),H59*0.5)</f>
        <v/>
      </c>
      <c r="L59" s="13" t="inlineStr"/>
    </row>
    <row r="60" ht="30" customHeight="1">
      <c r="A60" s="12" t="n">
        <v>51</v>
      </c>
      <c r="B60" s="13" t="inlineStr">
        <is>
          <t>监控管理应用</t>
        </is>
      </c>
      <c r="C60" s="13" t="inlineStr">
        <is>
          <t>复盘流程</t>
        </is>
      </c>
      <c r="D60" s="13" t="inlineStr">
        <is>
          <t>复盘流程</t>
        </is>
      </c>
      <c r="E60" s="13" t="inlineStr">
        <is>
          <t>复盘新建</t>
        </is>
      </c>
      <c r="F60" s="13" t="inlineStr">
        <is>
          <t>地市专业室不存在隐患原因录入</t>
        </is>
      </c>
      <c r="G60" s="12" t="inlineStr">
        <is>
          <t>EI</t>
        </is>
      </c>
      <c r="H60" s="14">
        <f>IF(G60="ILF",7,IF(G60="EO",5,IF(G60="EIF",5,IF(G60="EI",4,IF(G60="EQ",4,5)))))</f>
        <v/>
      </c>
      <c r="I60" s="12" t="inlineStr">
        <is>
          <t>高</t>
        </is>
      </c>
      <c r="J60" s="12" t="inlineStr">
        <is>
          <t>新增</t>
        </is>
      </c>
      <c r="K60" s="14">
        <f>IF(J60="新增",IF(I60="高",H60*0.33,IF(I60="中",H60*0.67,H60)),H60*0.5)</f>
        <v/>
      </c>
      <c r="L60" s="13" t="inlineStr"/>
    </row>
    <row r="61" ht="30" customHeight="1">
      <c r="A61" s="12" t="n">
        <v>52</v>
      </c>
      <c r="B61" s="13" t="inlineStr">
        <is>
          <t>监控管理应用</t>
        </is>
      </c>
      <c r="C61" s="13" t="inlineStr">
        <is>
          <t>复盘流程</t>
        </is>
      </c>
      <c r="D61" s="13" t="inlineStr">
        <is>
          <t>复盘流程</t>
        </is>
      </c>
      <c r="E61" s="13" t="inlineStr">
        <is>
          <t>复盘新建</t>
        </is>
      </c>
      <c r="F61" s="13" t="inlineStr">
        <is>
          <t>隐患规则列表呈现</t>
        </is>
      </c>
      <c r="G61" s="12" t="inlineStr">
        <is>
          <t>EQ</t>
        </is>
      </c>
      <c r="H61" s="14">
        <f>IF(G61="ILF",7,IF(G61="EO",5,IF(G61="EIF",5,IF(G61="EI",4,IF(G61="EQ",4,5)))))</f>
        <v/>
      </c>
      <c r="I61" s="12" t="inlineStr">
        <is>
          <t>高</t>
        </is>
      </c>
      <c r="J61" s="12" t="inlineStr">
        <is>
          <t>新增</t>
        </is>
      </c>
      <c r="K61" s="14">
        <f>IF(J61="新增",IF(I61="高",H61*0.33,IF(I61="中",H61*0.67,H61)),H61*0.5)</f>
        <v/>
      </c>
      <c r="L61" s="13" t="inlineStr"/>
    </row>
    <row r="62" ht="30" customHeight="1">
      <c r="A62" s="12" t="n">
        <v>53</v>
      </c>
      <c r="B62" s="13" t="inlineStr">
        <is>
          <t>监控管理应用</t>
        </is>
      </c>
      <c r="C62" s="13" t="inlineStr">
        <is>
          <t>复盘流程</t>
        </is>
      </c>
      <c r="D62" s="13" t="inlineStr">
        <is>
          <t>复盘流程</t>
        </is>
      </c>
      <c r="E62" s="13" t="inlineStr">
        <is>
          <t>复盘新建</t>
        </is>
      </c>
      <c r="F62" s="13" t="inlineStr">
        <is>
          <t>地市专业室隐患工单查询</t>
        </is>
      </c>
      <c r="G62" s="12" t="inlineStr">
        <is>
          <t>EQ</t>
        </is>
      </c>
      <c r="H62" s="14">
        <f>IF(G62="ILF",7,IF(G62="EO",5,IF(G62="EIF",5,IF(G62="EI",4,IF(G62="EQ",4,5)))))</f>
        <v/>
      </c>
      <c r="I62" s="12" t="inlineStr">
        <is>
          <t>高</t>
        </is>
      </c>
      <c r="J62" s="12" t="inlineStr">
        <is>
          <t>新增</t>
        </is>
      </c>
      <c r="K62" s="14">
        <f>IF(J62="新增",IF(I62="高",H62*0.33,IF(I62="中",H62*0.67,H62)),H62*0.5)</f>
        <v/>
      </c>
      <c r="L62" s="13" t="inlineStr"/>
    </row>
    <row r="63" ht="30" customHeight="1">
      <c r="A63" s="12" t="n">
        <v>54</v>
      </c>
      <c r="B63" s="13" t="inlineStr">
        <is>
          <t>监控管理应用</t>
        </is>
      </c>
      <c r="C63" s="13" t="inlineStr">
        <is>
          <t>复盘流程</t>
        </is>
      </c>
      <c r="D63" s="13" t="inlineStr">
        <is>
          <t>复盘流程</t>
        </is>
      </c>
      <c r="E63" s="13" t="inlineStr">
        <is>
          <t>复盘新建</t>
        </is>
      </c>
      <c r="F63" s="13" t="inlineStr">
        <is>
          <t>地市专业室隐患工单列表呈现</t>
        </is>
      </c>
      <c r="G63" s="12" t="inlineStr">
        <is>
          <t>EQ</t>
        </is>
      </c>
      <c r="H63" s="14">
        <f>IF(G63="ILF",7,IF(G63="EO",5,IF(G63="EIF",5,IF(G63="EI",4,IF(G63="EQ",4,5)))))</f>
        <v/>
      </c>
      <c r="I63" s="12" t="inlineStr">
        <is>
          <t>高</t>
        </is>
      </c>
      <c r="J63" s="12" t="inlineStr">
        <is>
          <t>新增</t>
        </is>
      </c>
      <c r="K63" s="14">
        <f>IF(J63="新增",IF(I63="高",H63*0.33,IF(I63="中",H63*0.67,H63)),H63*0.5)</f>
        <v/>
      </c>
      <c r="L63" s="13" t="inlineStr"/>
    </row>
    <row r="64" ht="30" customHeight="1">
      <c r="A64" s="12" t="n">
        <v>55</v>
      </c>
      <c r="B64" s="13" t="inlineStr">
        <is>
          <t>监控管理应用</t>
        </is>
      </c>
      <c r="C64" s="13" t="inlineStr">
        <is>
          <t>复盘流程</t>
        </is>
      </c>
      <c r="D64" s="13" t="inlineStr">
        <is>
          <t>复盘流程</t>
        </is>
      </c>
      <c r="E64" s="13" t="inlineStr">
        <is>
          <t>复盘流转</t>
        </is>
      </c>
      <c r="F64" s="13" t="inlineStr">
        <is>
          <t>地市专业室复盘工单关联隐患工单选择</t>
        </is>
      </c>
      <c r="G64" s="12" t="inlineStr">
        <is>
          <t>EO</t>
        </is>
      </c>
      <c r="H64" s="14">
        <f>IF(G64="ILF",7,IF(G64="EO",5,IF(G64="EIF",5,IF(G64="EI",4,IF(G64="EQ",4,5)))))</f>
        <v/>
      </c>
      <c r="I64" s="12" t="inlineStr">
        <is>
          <t>高</t>
        </is>
      </c>
      <c r="J64" s="12" t="inlineStr">
        <is>
          <t>新增</t>
        </is>
      </c>
      <c r="K64" s="14">
        <f>IF(J64="新增",IF(I64="高",H64*0.33,IF(I64="中",H64*0.67,H64)),H64*0.5)</f>
        <v/>
      </c>
      <c r="L64" s="13" t="inlineStr"/>
    </row>
    <row r="65" ht="30" customHeight="1">
      <c r="A65" s="12" t="n">
        <v>56</v>
      </c>
      <c r="B65" s="13" t="inlineStr">
        <is>
          <t>监控管理应用</t>
        </is>
      </c>
      <c r="C65" s="13" t="inlineStr">
        <is>
          <t>复盘流程</t>
        </is>
      </c>
      <c r="D65" s="13" t="inlineStr">
        <is>
          <t>复盘流程</t>
        </is>
      </c>
      <c r="E65" s="13" t="inlineStr">
        <is>
          <t>复盘流转</t>
        </is>
      </c>
      <c r="F65" s="13" t="inlineStr">
        <is>
          <t>复盘工单是否涉及多地市判定</t>
        </is>
      </c>
      <c r="G65" s="12" t="inlineStr">
        <is>
          <t>EO</t>
        </is>
      </c>
      <c r="H65" s="14">
        <f>IF(G65="ILF",7,IF(G65="EO",5,IF(G65="EIF",5,IF(G65="EI",4,IF(G65="EQ",4,5)))))</f>
        <v/>
      </c>
      <c r="I65" s="12" t="inlineStr">
        <is>
          <t>高</t>
        </is>
      </c>
      <c r="J65" s="12" t="inlineStr">
        <is>
          <t>新增</t>
        </is>
      </c>
      <c r="K65" s="14">
        <f>IF(J65="新增",IF(I65="高",H65*0.33,IF(I65="中",H65*0.67,H65)),H65*0.5)</f>
        <v/>
      </c>
      <c r="L65" s="13" t="inlineStr"/>
    </row>
    <row r="66" ht="30" customHeight="1">
      <c r="A66" s="12" t="n">
        <v>57</v>
      </c>
      <c r="B66" s="13" t="inlineStr">
        <is>
          <t>监控管理应用</t>
        </is>
      </c>
      <c r="C66" s="13" t="inlineStr">
        <is>
          <t>复盘流程</t>
        </is>
      </c>
      <c r="D66" s="13" t="inlineStr">
        <is>
          <t>复盘流程</t>
        </is>
      </c>
      <c r="E66" s="13" t="inlineStr">
        <is>
          <t>复盘流转</t>
        </is>
      </c>
      <c r="F66" s="13" t="inlineStr">
        <is>
          <t>自动流转省公司监控室功能</t>
        </is>
      </c>
      <c r="G66" s="12" t="inlineStr">
        <is>
          <t>EO</t>
        </is>
      </c>
      <c r="H66" s="14">
        <f>IF(G66="ILF",7,IF(G66="EO",5,IF(G66="EIF",5,IF(G66="EI",4,IF(G66="EQ",4,5)))))</f>
        <v/>
      </c>
      <c r="I66" s="12" t="inlineStr">
        <is>
          <t>高</t>
        </is>
      </c>
      <c r="J66" s="12" t="inlineStr">
        <is>
          <t>新增</t>
        </is>
      </c>
      <c r="K66" s="14">
        <f>IF(J66="新增",IF(I66="高",H66*0.33,IF(I66="中",H66*0.67,H66)),H66*0.5)</f>
        <v/>
      </c>
      <c r="L66" s="13" t="inlineStr"/>
    </row>
    <row r="67" ht="30" customHeight="1">
      <c r="A67" s="12" t="n">
        <v>58</v>
      </c>
      <c r="B67" s="13" t="inlineStr">
        <is>
          <t>监控管理应用</t>
        </is>
      </c>
      <c r="C67" s="13" t="inlineStr">
        <is>
          <t>复盘流程</t>
        </is>
      </c>
      <c r="D67" s="13" t="inlineStr">
        <is>
          <t>复盘流程</t>
        </is>
      </c>
      <c r="E67" s="13" t="inlineStr">
        <is>
          <t>复盘流转</t>
        </is>
      </c>
      <c r="F67" s="13" t="inlineStr">
        <is>
          <t>人工派发地市网络指挥调度中心功能</t>
        </is>
      </c>
      <c r="G67" s="12" t="inlineStr">
        <is>
          <t>EO</t>
        </is>
      </c>
      <c r="H67" s="14">
        <f>IF(G67="ILF",7,IF(G67="EO",5,IF(G67="EIF",5,IF(G67="EI",4,IF(G67="EQ",4,5)))))</f>
        <v/>
      </c>
      <c r="I67" s="12" t="inlineStr">
        <is>
          <t>高</t>
        </is>
      </c>
      <c r="J67" s="12" t="inlineStr">
        <is>
          <t>新增</t>
        </is>
      </c>
      <c r="K67" s="14">
        <f>IF(J67="新增",IF(I67="高",H67*0.33,IF(I67="中",H67*0.67,H67)),H67*0.5)</f>
        <v/>
      </c>
      <c r="L67" s="13" t="inlineStr"/>
    </row>
    <row r="68" ht="30" customHeight="1">
      <c r="A68" s="12" t="n">
        <v>59</v>
      </c>
      <c r="B68" s="13" t="inlineStr">
        <is>
          <t>监控管理应用</t>
        </is>
      </c>
      <c r="C68" s="13" t="inlineStr">
        <is>
          <t>复盘流程</t>
        </is>
      </c>
      <c r="D68" s="13" t="inlineStr">
        <is>
          <t>复盘流程</t>
        </is>
      </c>
      <c r="E68" s="13" t="inlineStr">
        <is>
          <t>复盘流转</t>
        </is>
      </c>
      <c r="F68" s="13" t="inlineStr">
        <is>
          <t>复盘工单地市是否为省公司判定</t>
        </is>
      </c>
      <c r="G68" s="12" t="inlineStr">
        <is>
          <t>EO</t>
        </is>
      </c>
      <c r="H68" s="14">
        <f>IF(G68="ILF",7,IF(G68="EO",5,IF(G68="EIF",5,IF(G68="EI",4,IF(G68="EQ",4,5)))))</f>
        <v/>
      </c>
      <c r="I68" s="12" t="inlineStr">
        <is>
          <t>高</t>
        </is>
      </c>
      <c r="J68" s="12" t="inlineStr">
        <is>
          <t>新增</t>
        </is>
      </c>
      <c r="K68" s="14">
        <f>IF(J68="新增",IF(I68="高",H68*0.33,IF(I68="中",H68*0.67,H68)),H68*0.5)</f>
        <v/>
      </c>
      <c r="L68" s="13" t="inlineStr"/>
    </row>
    <row r="69" ht="30" customHeight="1">
      <c r="A69" s="12" t="n">
        <v>60</v>
      </c>
      <c r="B69" s="13" t="inlineStr">
        <is>
          <t>监控管理应用</t>
        </is>
      </c>
      <c r="C69" s="13" t="inlineStr">
        <is>
          <t>复盘流程</t>
        </is>
      </c>
      <c r="D69" s="13" t="inlineStr">
        <is>
          <t>复盘流程</t>
        </is>
      </c>
      <c r="E69" s="13" t="inlineStr">
        <is>
          <t>复盘流转</t>
        </is>
      </c>
      <c r="F69" s="13" t="inlineStr">
        <is>
          <t>自动派发省公司专业室调度长功能</t>
        </is>
      </c>
      <c r="G69" s="12" t="inlineStr">
        <is>
          <t>EO</t>
        </is>
      </c>
      <c r="H69" s="14">
        <f>IF(G69="ILF",7,IF(G69="EO",5,IF(G69="EIF",5,IF(G69="EI",4,IF(G69="EQ",4,5)))))</f>
        <v/>
      </c>
      <c r="I69" s="12" t="inlineStr">
        <is>
          <t>高</t>
        </is>
      </c>
      <c r="J69" s="12" t="inlineStr">
        <is>
          <t>新增</t>
        </is>
      </c>
      <c r="K69" s="14">
        <f>IF(J69="新增",IF(I69="高",H69*0.33,IF(I69="中",H69*0.67,H69)),H69*0.5)</f>
        <v/>
      </c>
      <c r="L69" s="13" t="inlineStr"/>
    </row>
    <row r="70" ht="30" customHeight="1">
      <c r="A70" s="12" t="n">
        <v>61</v>
      </c>
      <c r="B70" s="13" t="inlineStr">
        <is>
          <t>监控管理应用</t>
        </is>
      </c>
      <c r="C70" s="13" t="inlineStr">
        <is>
          <t>复盘流程</t>
        </is>
      </c>
      <c r="D70" s="13" t="inlineStr">
        <is>
          <t>复盘流程</t>
        </is>
      </c>
      <c r="E70" s="13" t="inlineStr">
        <is>
          <t>复盘流转</t>
        </is>
      </c>
      <c r="F70" s="13" t="inlineStr">
        <is>
          <t>省公司专业室重复故障和隐患确认消息通知</t>
        </is>
      </c>
      <c r="G70" s="12" t="inlineStr">
        <is>
          <t>EO</t>
        </is>
      </c>
      <c r="H70" s="14">
        <f>IF(G70="ILF",7,IF(G70="EO",5,IF(G70="EIF",5,IF(G70="EI",4,IF(G70="EQ",4,5)))))</f>
        <v/>
      </c>
      <c r="I70" s="12" t="inlineStr">
        <is>
          <t>高</t>
        </is>
      </c>
      <c r="J70" s="12" t="inlineStr">
        <is>
          <t>新增</t>
        </is>
      </c>
      <c r="K70" s="14">
        <f>IF(J70="新增",IF(I70="高",H70*0.33,IF(I70="中",H70*0.67,H70)),H70*0.5)</f>
        <v/>
      </c>
      <c r="L70" s="13" t="inlineStr"/>
    </row>
    <row r="71" ht="30" customHeight="1">
      <c r="A71" s="12" t="n">
        <v>62</v>
      </c>
      <c r="B71" s="13" t="inlineStr">
        <is>
          <t>监控管理应用</t>
        </is>
      </c>
      <c r="C71" s="13" t="inlineStr">
        <is>
          <t>复盘流程</t>
        </is>
      </c>
      <c r="D71" s="13" t="inlineStr">
        <is>
          <t>复盘流程</t>
        </is>
      </c>
      <c r="E71" s="13" t="inlineStr">
        <is>
          <t>复盘流转</t>
        </is>
      </c>
      <c r="F71" s="13" t="inlineStr">
        <is>
          <t>消息通知短信表</t>
        </is>
      </c>
      <c r="G71" s="12" t="inlineStr">
        <is>
          <t>EO</t>
        </is>
      </c>
      <c r="H71" s="14">
        <f>IF(G71="ILF",7,IF(G71="EO",5,IF(G71="EIF",5,IF(G71="EI",4,IF(G71="EQ",4,5)))))</f>
        <v/>
      </c>
      <c r="I71" s="12" t="inlineStr">
        <is>
          <t>高</t>
        </is>
      </c>
      <c r="J71" s="12" t="inlineStr">
        <is>
          <t>新增</t>
        </is>
      </c>
      <c r="K71" s="14">
        <f>IF(J71="新增",IF(I71="高",H71*0.33,IF(I71="中",H71*0.67,H71)),H71*0.5)</f>
        <v/>
      </c>
      <c r="L71" s="13" t="inlineStr"/>
    </row>
    <row r="72" ht="30" customHeight="1">
      <c r="A72" s="12" t="n">
        <v>63</v>
      </c>
      <c r="B72" s="13" t="inlineStr">
        <is>
          <t>监控管理应用</t>
        </is>
      </c>
      <c r="C72" s="13" t="inlineStr">
        <is>
          <t>复盘流程</t>
        </is>
      </c>
      <c r="D72" s="13" t="inlineStr">
        <is>
          <t>复盘流程</t>
        </is>
      </c>
      <c r="E72" s="13" t="inlineStr">
        <is>
          <t>复盘流转</t>
        </is>
      </c>
      <c r="F72" s="13" t="inlineStr">
        <is>
          <t>自动派发地市网络指挥调度中心功能</t>
        </is>
      </c>
      <c r="G72" s="12" t="inlineStr">
        <is>
          <t>EO</t>
        </is>
      </c>
      <c r="H72" s="14">
        <f>IF(G72="ILF",7,IF(G72="EO",5,IF(G72="EIF",5,IF(G72="EI",4,IF(G72="EQ",4,5)))))</f>
        <v/>
      </c>
      <c r="I72" s="12" t="inlineStr">
        <is>
          <t>高</t>
        </is>
      </c>
      <c r="J72" s="12" t="inlineStr">
        <is>
          <t>新增</t>
        </is>
      </c>
      <c r="K72" s="14">
        <f>IF(J72="新增",IF(I72="高",H72*0.33,IF(I72="中",H72*0.67,H72)),H72*0.5)</f>
        <v/>
      </c>
      <c r="L72" s="13" t="inlineStr"/>
    </row>
    <row r="73" ht="30" customHeight="1">
      <c r="A73" s="12" t="n">
        <v>64</v>
      </c>
      <c r="B73" s="13" t="inlineStr">
        <is>
          <t>监控管理应用</t>
        </is>
      </c>
      <c r="C73" s="13" t="inlineStr">
        <is>
          <t>复盘流程</t>
        </is>
      </c>
      <c r="D73" s="13" t="inlineStr">
        <is>
          <t>复盘流程</t>
        </is>
      </c>
      <c r="E73" s="13" t="inlineStr">
        <is>
          <t>复盘流转</t>
        </is>
      </c>
      <c r="F73" s="13" t="inlineStr">
        <is>
          <t>人工派发地市专业室功能</t>
        </is>
      </c>
      <c r="G73" s="12" t="inlineStr">
        <is>
          <t>EO</t>
        </is>
      </c>
      <c r="H73" s="14">
        <f>IF(G73="ILF",7,IF(G73="EO",5,IF(G73="EIF",5,IF(G73="EI",4,IF(G73="EQ",4,5)))))</f>
        <v/>
      </c>
      <c r="I73" s="12" t="inlineStr">
        <is>
          <t>高</t>
        </is>
      </c>
      <c r="J73" s="12" t="inlineStr">
        <is>
          <t>新增</t>
        </is>
      </c>
      <c r="K73" s="14">
        <f>IF(J73="新增",IF(I73="高",H73*0.33,IF(I73="中",H73*0.67,H73)),H73*0.5)</f>
        <v/>
      </c>
      <c r="L73" s="13" t="inlineStr"/>
    </row>
    <row r="74" ht="30" customHeight="1">
      <c r="A74" s="12" t="n">
        <v>65</v>
      </c>
      <c r="B74" s="13" t="inlineStr">
        <is>
          <t>监控管理应用</t>
        </is>
      </c>
      <c r="C74" s="13" t="inlineStr">
        <is>
          <t>复盘流程</t>
        </is>
      </c>
      <c r="D74" s="13" t="inlineStr">
        <is>
          <t>复盘流程</t>
        </is>
      </c>
      <c r="E74" s="13" t="inlineStr">
        <is>
          <t>复盘流转</t>
        </is>
      </c>
      <c r="F74" s="13" t="inlineStr">
        <is>
          <t>消息通知地市专业室确认是否隐患</t>
        </is>
      </c>
      <c r="G74" s="12" t="inlineStr">
        <is>
          <t>EO</t>
        </is>
      </c>
      <c r="H74" s="14">
        <f>IF(G74="ILF",7,IF(G74="EO",5,IF(G74="EIF",5,IF(G74="EI",4,IF(G74="EQ",4,5)))))</f>
        <v/>
      </c>
      <c r="I74" s="12" t="inlineStr">
        <is>
          <t>高</t>
        </is>
      </c>
      <c r="J74" s="12" t="inlineStr">
        <is>
          <t>新增</t>
        </is>
      </c>
      <c r="K74" s="14">
        <f>IF(J74="新增",IF(I74="高",H74*0.33,IF(I74="中",H74*0.67,H74)),H74*0.5)</f>
        <v/>
      </c>
      <c r="L74" s="13" t="inlineStr"/>
    </row>
    <row r="75" ht="30" customHeight="1">
      <c r="A75" s="12" t="n">
        <v>66</v>
      </c>
      <c r="B75" s="13" t="inlineStr">
        <is>
          <t>监控管理应用</t>
        </is>
      </c>
      <c r="C75" s="13" t="inlineStr">
        <is>
          <t>复盘流程</t>
        </is>
      </c>
      <c r="D75" s="13" t="inlineStr">
        <is>
          <t>复盘流程</t>
        </is>
      </c>
      <c r="E75" s="13" t="inlineStr">
        <is>
          <t>复盘流转</t>
        </is>
      </c>
      <c r="F75" s="13" t="inlineStr">
        <is>
          <t>根据省公司是否重复故障判断地市专业室是否重复故障默认值</t>
        </is>
      </c>
      <c r="G75" s="12" t="inlineStr">
        <is>
          <t>EO</t>
        </is>
      </c>
      <c r="H75" s="14">
        <f>IF(G75="ILF",7,IF(G75="EO",5,IF(G75="EIF",5,IF(G75="EI",4,IF(G75="EQ",4,5)))))</f>
        <v/>
      </c>
      <c r="I75" s="12" t="inlineStr">
        <is>
          <t>高</t>
        </is>
      </c>
      <c r="J75" s="12" t="inlineStr">
        <is>
          <t>新增</t>
        </is>
      </c>
      <c r="K75" s="14">
        <f>IF(J75="新增",IF(I75="高",H75*0.33,IF(I75="中",H75*0.67,H75)),H75*0.5)</f>
        <v/>
      </c>
      <c r="L75" s="13" t="inlineStr"/>
    </row>
    <row r="76" ht="30" customHeight="1">
      <c r="A76" s="12" t="n">
        <v>67</v>
      </c>
      <c r="B76" s="13" t="inlineStr">
        <is>
          <t>监控管理应用</t>
        </is>
      </c>
      <c r="C76" s="13" t="inlineStr">
        <is>
          <t>复盘流程</t>
        </is>
      </c>
      <c r="D76" s="13" t="inlineStr">
        <is>
          <t>复盘流程</t>
        </is>
      </c>
      <c r="E76" s="13" t="inlineStr">
        <is>
          <t>复盘流转</t>
        </is>
      </c>
      <c r="F76" s="13" t="inlineStr">
        <is>
          <t>地市专业室是否重复故障意见录入</t>
        </is>
      </c>
      <c r="G76" s="12" t="inlineStr">
        <is>
          <t>EI</t>
        </is>
      </c>
      <c r="H76" s="14">
        <f>IF(G76="ILF",7,IF(G76="EO",5,IF(G76="EIF",5,IF(G76="EI",4,IF(G76="EQ",4,5)))))</f>
        <v/>
      </c>
      <c r="I76" s="12" t="inlineStr">
        <is>
          <t>高</t>
        </is>
      </c>
      <c r="J76" s="12" t="inlineStr">
        <is>
          <t>新增</t>
        </is>
      </c>
      <c r="K76" s="14">
        <f>IF(J76="新增",IF(I76="高",H76*0.33,IF(I76="中",H76*0.67,H76)),H76*0.5)</f>
        <v/>
      </c>
      <c r="L76" s="13" t="inlineStr"/>
    </row>
    <row r="77" ht="30" customHeight="1">
      <c r="A77" s="12" t="n">
        <v>68</v>
      </c>
      <c r="B77" s="13" t="inlineStr">
        <is>
          <t>监控管理应用</t>
        </is>
      </c>
      <c r="C77" s="13" t="inlineStr">
        <is>
          <t>复盘流程</t>
        </is>
      </c>
      <c r="D77" s="13" t="inlineStr">
        <is>
          <t>复盘流程</t>
        </is>
      </c>
      <c r="E77" s="13" t="inlineStr">
        <is>
          <t>复盘流转</t>
        </is>
      </c>
      <c r="F77" s="13" t="inlineStr">
        <is>
          <t>地市专业室不存在重复故障原因录入</t>
        </is>
      </c>
      <c r="G77" s="12" t="inlineStr">
        <is>
          <t>EI</t>
        </is>
      </c>
      <c r="H77" s="14">
        <f>IF(G77="ILF",7,IF(G77="EO",5,IF(G77="EIF",5,IF(G77="EI",4,IF(G77="EQ",4,5)))))</f>
        <v/>
      </c>
      <c r="I77" s="12" t="inlineStr">
        <is>
          <t>高</t>
        </is>
      </c>
      <c r="J77" s="12" t="inlineStr">
        <is>
          <t>新增</t>
        </is>
      </c>
      <c r="K77" s="14">
        <f>IF(J77="新增",IF(I77="高",H77*0.33,IF(I77="中",H77*0.67,H77)),H77*0.5)</f>
        <v/>
      </c>
      <c r="L77" s="13" t="inlineStr"/>
    </row>
    <row r="78" ht="30" customHeight="1">
      <c r="A78" s="12" t="n">
        <v>69</v>
      </c>
      <c r="B78" s="13" t="inlineStr">
        <is>
          <t>监控管理应用</t>
        </is>
      </c>
      <c r="C78" s="13" t="inlineStr">
        <is>
          <t>复盘流程</t>
        </is>
      </c>
      <c r="D78" s="13" t="inlineStr">
        <is>
          <t>复盘流程</t>
        </is>
      </c>
      <c r="E78" s="13" t="inlineStr">
        <is>
          <t>复盘流转</t>
        </is>
      </c>
      <c r="F78" s="13" t="inlineStr">
        <is>
          <t>预警最高级别是否为预C或者非海岛的OLT脱管判定</t>
        </is>
      </c>
      <c r="G78" s="12" t="inlineStr">
        <is>
          <t>ILF</t>
        </is>
      </c>
      <c r="H78" s="14">
        <f>IF(G78="ILF",7,IF(G78="EO",5,IF(G78="EIF",5,IF(G78="EI",4,IF(G78="EQ",4,5)))))</f>
        <v/>
      </c>
      <c r="I78" s="12" t="inlineStr">
        <is>
          <t>高</t>
        </is>
      </c>
      <c r="J78" s="12" t="inlineStr">
        <is>
          <t>新增</t>
        </is>
      </c>
      <c r="K78" s="14">
        <f>IF(J78="新增",IF(I78="高",H78*0.33,IF(I78="中",H78*0.67,H78)),H78*0.5)</f>
        <v/>
      </c>
      <c r="L78" s="13" t="inlineStr"/>
    </row>
    <row r="79" ht="30" customHeight="1">
      <c r="A79" s="12" t="n">
        <v>70</v>
      </c>
      <c r="B79" s="13" t="inlineStr">
        <is>
          <t>监控管理应用</t>
        </is>
      </c>
      <c r="C79" s="13" t="inlineStr">
        <is>
          <t>复盘流程</t>
        </is>
      </c>
      <c r="D79" s="13" t="inlineStr">
        <is>
          <t>复盘流程</t>
        </is>
      </c>
      <c r="E79" s="13" t="inlineStr">
        <is>
          <t>复盘流转</t>
        </is>
      </c>
      <c r="F79" s="13" t="inlineStr">
        <is>
          <t>应急预案执行情况及存在问题做简要说明是否呈现判定</t>
        </is>
      </c>
      <c r="G79" s="12" t="inlineStr">
        <is>
          <t>EO</t>
        </is>
      </c>
      <c r="H79" s="14">
        <f>IF(G79="ILF",7,IF(G79="EO",5,IF(G79="EIF",5,IF(G79="EI",4,IF(G79="EQ",4,5)))))</f>
        <v/>
      </c>
      <c r="I79" s="12" t="inlineStr">
        <is>
          <t>高</t>
        </is>
      </c>
      <c r="J79" s="12" t="inlineStr">
        <is>
          <t>新增</t>
        </is>
      </c>
      <c r="K79" s="14">
        <f>IF(J79="新增",IF(I79="高",H79*0.33,IF(I79="中",H79*0.67,H79)),H79*0.5)</f>
        <v/>
      </c>
      <c r="L79" s="13" t="inlineStr"/>
    </row>
    <row r="80" ht="30" customHeight="1">
      <c r="A80" s="12" t="n">
        <v>71</v>
      </c>
      <c r="B80" s="13" t="inlineStr">
        <is>
          <t>监控管理应用</t>
        </is>
      </c>
      <c r="C80" s="13" t="inlineStr">
        <is>
          <t>复盘流程</t>
        </is>
      </c>
      <c r="D80" s="13" t="inlineStr">
        <is>
          <t>复盘流程</t>
        </is>
      </c>
      <c r="E80" s="13" t="inlineStr">
        <is>
          <t>复盘流转</t>
        </is>
      </c>
      <c r="F80" s="13" t="inlineStr">
        <is>
          <t>应急预案执行情况及存在问题简要说明录入</t>
        </is>
      </c>
      <c r="G80" s="12" t="inlineStr">
        <is>
          <t>EI</t>
        </is>
      </c>
      <c r="H80" s="14">
        <f>IF(G80="ILF",7,IF(G80="EO",5,IF(G80="EIF",5,IF(G80="EI",4,IF(G80="EQ",4,5)))))</f>
        <v/>
      </c>
      <c r="I80" s="12" t="inlineStr">
        <is>
          <t>高</t>
        </is>
      </c>
      <c r="J80" s="12" t="inlineStr">
        <is>
          <t>新增</t>
        </is>
      </c>
      <c r="K80" s="14">
        <f>IF(J80="新增",IF(I80="高",H80*0.33,IF(I80="中",H80*0.67,H80)),H80*0.5)</f>
        <v/>
      </c>
      <c r="L80" s="13" t="inlineStr"/>
    </row>
    <row r="81" ht="30" customHeight="1">
      <c r="A81" s="12" t="n">
        <v>72</v>
      </c>
      <c r="B81" s="13" t="inlineStr">
        <is>
          <t>监控管理应用</t>
        </is>
      </c>
      <c r="C81" s="13" t="inlineStr">
        <is>
          <t>复盘流程</t>
        </is>
      </c>
      <c r="D81" s="13" t="inlineStr">
        <is>
          <t>复盘流程</t>
        </is>
      </c>
      <c r="E81" s="13" t="inlineStr">
        <is>
          <t>复盘流转</t>
        </is>
      </c>
      <c r="F81" s="13" t="inlineStr">
        <is>
          <t>故障的拓扑图现场照片上传</t>
        </is>
      </c>
      <c r="G81" s="12" t="inlineStr">
        <is>
          <t>EO</t>
        </is>
      </c>
      <c r="H81" s="14">
        <f>IF(G81="ILF",7,IF(G81="EO",5,IF(G81="EIF",5,IF(G81="EI",4,IF(G81="EQ",4,5)))))</f>
        <v/>
      </c>
      <c r="I81" s="12" t="inlineStr">
        <is>
          <t>高</t>
        </is>
      </c>
      <c r="J81" s="12" t="inlineStr">
        <is>
          <t>新增</t>
        </is>
      </c>
      <c r="K81" s="14">
        <f>IF(J81="新增",IF(I81="高",H81*0.33,IF(I81="中",H81*0.67,H81)),H81*0.5)</f>
        <v/>
      </c>
      <c r="L81" s="13" t="inlineStr"/>
    </row>
    <row r="82" ht="30" customHeight="1">
      <c r="A82" s="12" t="n">
        <v>73</v>
      </c>
      <c r="B82" s="13" t="inlineStr">
        <is>
          <t>监控管理应用</t>
        </is>
      </c>
      <c r="C82" s="13" t="inlineStr">
        <is>
          <t>复盘流程</t>
        </is>
      </c>
      <c r="D82" s="13" t="inlineStr">
        <is>
          <t>复盘流程</t>
        </is>
      </c>
      <c r="E82" s="13" t="inlineStr">
        <is>
          <t>复盘流转</t>
        </is>
      </c>
      <c r="F82" s="13" t="inlineStr">
        <is>
          <t>派发对象人员列表查询</t>
        </is>
      </c>
      <c r="G82" s="12" t="inlineStr">
        <is>
          <t>EQ</t>
        </is>
      </c>
      <c r="H82" s="14">
        <f>IF(G82="ILF",7,IF(G82="EO",5,IF(G82="EIF",5,IF(G82="EI",4,IF(G82="EQ",4,5)))))</f>
        <v/>
      </c>
      <c r="I82" s="12" t="inlineStr">
        <is>
          <t>高</t>
        </is>
      </c>
      <c r="J82" s="12" t="inlineStr">
        <is>
          <t>新增</t>
        </is>
      </c>
      <c r="K82" s="14">
        <f>IF(J82="新增",IF(I82="高",H82*0.33,IF(I82="中",H82*0.67,H82)),H82*0.5)</f>
        <v/>
      </c>
      <c r="L82" s="13" t="inlineStr"/>
    </row>
    <row r="83" ht="30" customHeight="1">
      <c r="A83" s="12" t="n">
        <v>74</v>
      </c>
      <c r="B83" s="13" t="inlineStr">
        <is>
          <t>监控管理应用</t>
        </is>
      </c>
      <c r="C83" s="13" t="inlineStr">
        <is>
          <t>复盘流程</t>
        </is>
      </c>
      <c r="D83" s="13" t="inlineStr">
        <is>
          <t>复盘流程</t>
        </is>
      </c>
      <c r="E83" s="13" t="inlineStr">
        <is>
          <t>复盘流转</t>
        </is>
      </c>
      <c r="F83" s="13" t="inlineStr">
        <is>
          <t>派发对象人员列表呈现</t>
        </is>
      </c>
      <c r="G83" s="12" t="inlineStr">
        <is>
          <t>EQ</t>
        </is>
      </c>
      <c r="H83" s="14">
        <f>IF(G83="ILF",7,IF(G83="EO",5,IF(G83="EIF",5,IF(G83="EI",4,IF(G83="EQ",4,5)))))</f>
        <v/>
      </c>
      <c r="I83" s="12" t="inlineStr">
        <is>
          <t>高</t>
        </is>
      </c>
      <c r="J83" s="12" t="inlineStr">
        <is>
          <t>新增</t>
        </is>
      </c>
      <c r="K83" s="14">
        <f>IF(J83="新增",IF(I83="高",H83*0.33,IF(I83="中",H83*0.67,H83)),H83*0.5)</f>
        <v/>
      </c>
      <c r="L83" s="13" t="inlineStr"/>
    </row>
    <row r="84" ht="30" customHeight="1">
      <c r="A84" s="12" t="n">
        <v>75</v>
      </c>
      <c r="B84" s="13" t="inlineStr">
        <is>
          <t>监控管理应用</t>
        </is>
      </c>
      <c r="C84" s="13" t="inlineStr">
        <is>
          <t>复盘流程</t>
        </is>
      </c>
      <c r="D84" s="13" t="inlineStr">
        <is>
          <t>复盘流程</t>
        </is>
      </c>
      <c r="E84" s="13" t="inlineStr">
        <is>
          <t>复盘流转</t>
        </is>
      </c>
      <c r="F84" s="13" t="inlineStr">
        <is>
          <t>派发对象用户名和姓名模糊查询</t>
        </is>
      </c>
      <c r="G84" s="12" t="inlineStr">
        <is>
          <t>EQ</t>
        </is>
      </c>
      <c r="H84" s="14">
        <f>IF(G84="ILF",7,IF(G84="EO",5,IF(G84="EIF",5,IF(G84="EI",4,IF(G84="EQ",4,5)))))</f>
        <v/>
      </c>
      <c r="I84" s="12" t="inlineStr">
        <is>
          <t>高</t>
        </is>
      </c>
      <c r="J84" s="12" t="inlineStr">
        <is>
          <t>新增</t>
        </is>
      </c>
      <c r="K84" s="14">
        <f>IF(J84="新增",IF(I84="高",H84*0.33,IF(I84="中",H84*0.67,H84)),H84*0.5)</f>
        <v/>
      </c>
      <c r="L84" s="13" t="inlineStr"/>
    </row>
    <row r="85" ht="30" customHeight="1">
      <c r="A85" s="12" t="n">
        <v>76</v>
      </c>
      <c r="B85" s="13" t="inlineStr">
        <is>
          <t>监控管理应用</t>
        </is>
      </c>
      <c r="C85" s="13" t="inlineStr">
        <is>
          <t>复盘流程</t>
        </is>
      </c>
      <c r="D85" s="13" t="inlineStr">
        <is>
          <t>复盘流程</t>
        </is>
      </c>
      <c r="E85" s="13" t="inlineStr">
        <is>
          <t>复盘流转</t>
        </is>
      </c>
      <c r="F85" s="13" t="inlineStr">
        <is>
          <t>派发对象地市条件过滤</t>
        </is>
      </c>
      <c r="G85" s="12" t="inlineStr">
        <is>
          <t>EO</t>
        </is>
      </c>
      <c r="H85" s="14">
        <f>IF(G85="ILF",7,IF(G85="EO",5,IF(G85="EIF",5,IF(G85="EI",4,IF(G85="EQ",4,5)))))</f>
        <v/>
      </c>
      <c r="I85" s="12" t="inlineStr">
        <is>
          <t>高</t>
        </is>
      </c>
      <c r="J85" s="12" t="inlineStr">
        <is>
          <t>新增</t>
        </is>
      </c>
      <c r="K85" s="14">
        <f>IF(J85="新增",IF(I85="高",H85*0.33,IF(I85="中",H85*0.67,H85)),H85*0.5)</f>
        <v/>
      </c>
      <c r="L85" s="13" t="inlineStr"/>
    </row>
    <row r="86" ht="30" customHeight="1">
      <c r="A86" s="12" t="n">
        <v>77</v>
      </c>
      <c r="B86" s="13" t="inlineStr">
        <is>
          <t>监控管理应用</t>
        </is>
      </c>
      <c r="C86" s="13" t="inlineStr">
        <is>
          <t>复盘流程</t>
        </is>
      </c>
      <c r="D86" s="13" t="inlineStr">
        <is>
          <t>复盘流程</t>
        </is>
      </c>
      <c r="E86" s="13" t="inlineStr">
        <is>
          <t>复盘流转</t>
        </is>
      </c>
      <c r="F86" s="13" t="inlineStr">
        <is>
          <t>派发对象角色列表查询</t>
        </is>
      </c>
      <c r="G86" s="12" t="inlineStr">
        <is>
          <t>EQ</t>
        </is>
      </c>
      <c r="H86" s="14">
        <f>IF(G86="ILF",7,IF(G86="EO",5,IF(G86="EIF",5,IF(G86="EI",4,IF(G86="EQ",4,5)))))</f>
        <v/>
      </c>
      <c r="I86" s="12" t="inlineStr">
        <is>
          <t>高</t>
        </is>
      </c>
      <c r="J86" s="12" t="inlineStr">
        <is>
          <t>新增</t>
        </is>
      </c>
      <c r="K86" s="14">
        <f>IF(J86="新增",IF(I86="高",H86*0.33,IF(I86="中",H86*0.67,H86)),H86*0.5)</f>
        <v/>
      </c>
      <c r="L86" s="13" t="inlineStr"/>
    </row>
    <row r="87" ht="30" customHeight="1">
      <c r="A87" s="12" t="n">
        <v>78</v>
      </c>
      <c r="B87" s="13" t="inlineStr">
        <is>
          <t>监控管理应用</t>
        </is>
      </c>
      <c r="C87" s="13" t="inlineStr">
        <is>
          <t>复盘流程</t>
        </is>
      </c>
      <c r="D87" s="13" t="inlineStr">
        <is>
          <t>复盘流程</t>
        </is>
      </c>
      <c r="E87" s="13" t="inlineStr">
        <is>
          <t>复盘流转</t>
        </is>
      </c>
      <c r="F87" s="13" t="inlineStr">
        <is>
          <t>派发角色列表呈现</t>
        </is>
      </c>
      <c r="G87" s="12" t="inlineStr">
        <is>
          <t>EQ</t>
        </is>
      </c>
      <c r="H87" s="14">
        <f>IF(G87="ILF",7,IF(G87="EO",5,IF(G87="EIF",5,IF(G87="EI",4,IF(G87="EQ",4,5)))))</f>
        <v/>
      </c>
      <c r="I87" s="12" t="inlineStr">
        <is>
          <t>高</t>
        </is>
      </c>
      <c r="J87" s="12" t="inlineStr">
        <is>
          <t>新增</t>
        </is>
      </c>
      <c r="K87" s="14">
        <f>IF(J87="新增",IF(I87="高",H87*0.33,IF(I87="中",H87*0.67,H87)),H87*0.5)</f>
        <v/>
      </c>
      <c r="L87" s="13" t="inlineStr"/>
    </row>
    <row r="88" ht="30" customHeight="1">
      <c r="A88" s="12" t="n">
        <v>79</v>
      </c>
      <c r="B88" s="13" t="inlineStr">
        <is>
          <t>监控管理应用</t>
        </is>
      </c>
      <c r="C88" s="13" t="inlineStr">
        <is>
          <t>复盘流程</t>
        </is>
      </c>
      <c r="D88" s="13" t="inlineStr">
        <is>
          <t>复盘流程</t>
        </is>
      </c>
      <c r="E88" s="13" t="inlineStr">
        <is>
          <t>复盘流转</t>
        </is>
      </c>
      <c r="F88" s="13" t="inlineStr">
        <is>
          <t>派发对象角色子角色过滤查询</t>
        </is>
      </c>
      <c r="G88" s="12" t="inlineStr">
        <is>
          <t>EO</t>
        </is>
      </c>
      <c r="H88" s="14">
        <f>IF(G88="ILF",7,IF(G88="EO",5,IF(G88="EIF",5,IF(G88="EI",4,IF(G88="EQ",4,5)))))</f>
        <v/>
      </c>
      <c r="I88" s="12" t="inlineStr">
        <is>
          <t>高</t>
        </is>
      </c>
      <c r="J88" s="12" t="inlineStr">
        <is>
          <t>新增</t>
        </is>
      </c>
      <c r="K88" s="14">
        <f>IF(J88="新增",IF(I88="高",H88*0.33,IF(I88="中",H88*0.67,H88)),H88*0.5)</f>
        <v/>
      </c>
      <c r="L88" s="13" t="inlineStr"/>
    </row>
    <row r="89" ht="30" customHeight="1">
      <c r="A89" s="12" t="n">
        <v>80</v>
      </c>
      <c r="B89" s="13" t="inlineStr">
        <is>
          <t>监控管理应用</t>
        </is>
      </c>
      <c r="C89" s="13" t="inlineStr">
        <is>
          <t>复盘流程</t>
        </is>
      </c>
      <c r="D89" s="13" t="inlineStr">
        <is>
          <t>复盘流程</t>
        </is>
      </c>
      <c r="E89" s="13" t="inlineStr">
        <is>
          <t>复盘流转</t>
        </is>
      </c>
      <c r="F89" s="13" t="inlineStr">
        <is>
          <t>派发对象选择</t>
        </is>
      </c>
      <c r="G89" s="12" t="inlineStr">
        <is>
          <t>EO</t>
        </is>
      </c>
      <c r="H89" s="14">
        <f>IF(G89="ILF",7,IF(G89="EO",5,IF(G89="EIF",5,IF(G89="EI",4,IF(G89="EQ",4,5)))))</f>
        <v/>
      </c>
      <c r="I89" s="12" t="inlineStr">
        <is>
          <t>高</t>
        </is>
      </c>
      <c r="J89" s="12" t="inlineStr">
        <is>
          <t>新增</t>
        </is>
      </c>
      <c r="K89" s="14">
        <f>IF(J89="新增",IF(I89="高",H89*0.33,IF(I89="中",H89*0.67,H89)),H89*0.5)</f>
        <v/>
      </c>
      <c r="L89" s="13" t="inlineStr"/>
    </row>
    <row r="90" ht="30" customHeight="1">
      <c r="A90" s="12" t="n">
        <v>81</v>
      </c>
      <c r="B90" s="13" t="inlineStr">
        <is>
          <t>监控管理应用</t>
        </is>
      </c>
      <c r="C90" s="13" t="inlineStr">
        <is>
          <t>复盘流程</t>
        </is>
      </c>
      <c r="D90" s="13" t="inlineStr">
        <is>
          <t>复盘流程</t>
        </is>
      </c>
      <c r="E90" s="13" t="inlineStr">
        <is>
          <t>复盘流转</t>
        </is>
      </c>
      <c r="F90" s="13" t="inlineStr">
        <is>
          <t>省公司监控室人员派发复盘工单到地市网络指挥调度中心</t>
        </is>
      </c>
      <c r="G90" s="12" t="inlineStr">
        <is>
          <t>EO</t>
        </is>
      </c>
      <c r="H90" s="14">
        <f>IF(G90="ILF",7,IF(G90="EO",5,IF(G90="EIF",5,IF(G90="EI",4,IF(G90="EQ",4,5)))))</f>
        <v/>
      </c>
      <c r="I90" s="12" t="inlineStr">
        <is>
          <t>高</t>
        </is>
      </c>
      <c r="J90" s="12" t="inlineStr">
        <is>
          <t>新增</t>
        </is>
      </c>
      <c r="K90" s="14">
        <f>IF(J90="新增",IF(I90="高",H90*0.33,IF(I90="中",H90*0.67,H90)),H90*0.5)</f>
        <v/>
      </c>
      <c r="L90" s="13" t="inlineStr"/>
    </row>
    <row r="91" ht="30" customHeight="1">
      <c r="A91" s="12" t="n">
        <v>82</v>
      </c>
      <c r="B91" s="13" t="inlineStr">
        <is>
          <t>监控管理应用</t>
        </is>
      </c>
      <c r="C91" s="13" t="inlineStr">
        <is>
          <t>复盘流程</t>
        </is>
      </c>
      <c r="D91" s="13" t="inlineStr">
        <is>
          <t>复盘流程</t>
        </is>
      </c>
      <c r="E91" s="13" t="inlineStr">
        <is>
          <t>复盘流转</t>
        </is>
      </c>
      <c r="F91" s="13" t="inlineStr">
        <is>
          <t>复盘工单派发记录</t>
        </is>
      </c>
      <c r="G91" s="12" t="inlineStr">
        <is>
          <t>EO</t>
        </is>
      </c>
      <c r="H91" s="14">
        <f>IF(G91="ILF",7,IF(G91="EO",5,IF(G91="EIF",5,IF(G91="EI",4,IF(G91="EQ",4,5)))))</f>
        <v/>
      </c>
      <c r="I91" s="12" t="inlineStr">
        <is>
          <t>高</t>
        </is>
      </c>
      <c r="J91" s="12" t="inlineStr">
        <is>
          <t>新增</t>
        </is>
      </c>
      <c r="K91" s="14">
        <f>IF(J91="新增",IF(I91="高",H91*0.33,IF(I91="中",H91*0.67,H91)),H91*0.5)</f>
        <v/>
      </c>
      <c r="L91" s="13" t="inlineStr"/>
    </row>
    <row r="92" ht="30" customHeight="1">
      <c r="A92" s="12" t="n">
        <v>83</v>
      </c>
      <c r="B92" s="13" t="inlineStr">
        <is>
          <t>监控管理应用</t>
        </is>
      </c>
      <c r="C92" s="13" t="inlineStr">
        <is>
          <t>复盘流程</t>
        </is>
      </c>
      <c r="D92" s="13" t="inlineStr">
        <is>
          <t>复盘流程</t>
        </is>
      </c>
      <c r="E92" s="13" t="inlineStr">
        <is>
          <t>复盘流转</t>
        </is>
      </c>
      <c r="F92" s="13" t="inlineStr">
        <is>
          <t>地市网络指挥调度中心人员派发复盘工单到地市专业室</t>
        </is>
      </c>
      <c r="G92" s="12" t="inlineStr">
        <is>
          <t>EO</t>
        </is>
      </c>
      <c r="H92" s="14">
        <f>IF(G92="ILF",7,IF(G92="EO",5,IF(G92="EIF",5,IF(G92="EI",4,IF(G92="EQ",4,5)))))</f>
        <v/>
      </c>
      <c r="I92" s="12" t="inlineStr">
        <is>
          <t>高</t>
        </is>
      </c>
      <c r="J92" s="12" t="inlineStr">
        <is>
          <t>新增</t>
        </is>
      </c>
      <c r="K92" s="14">
        <f>IF(J92="新增",IF(I92="高",H92*0.33,IF(I92="中",H92*0.67,H92)),H92*0.5)</f>
        <v/>
      </c>
      <c r="L92" s="13" t="inlineStr"/>
    </row>
    <row r="93" ht="30" customHeight="1">
      <c r="A93" s="12" t="n">
        <v>84</v>
      </c>
      <c r="B93" s="13" t="inlineStr">
        <is>
          <t>监控管理应用</t>
        </is>
      </c>
      <c r="C93" s="13" t="inlineStr">
        <is>
          <t>复盘流程</t>
        </is>
      </c>
      <c r="D93" s="13" t="inlineStr">
        <is>
          <t>复盘流程</t>
        </is>
      </c>
      <c r="E93" s="13" t="inlineStr">
        <is>
          <t>复盘流转</t>
        </is>
      </c>
      <c r="F93" s="13" t="inlineStr">
        <is>
          <t>地市网络指挥调度中心复盘工单驳回原因录入</t>
        </is>
      </c>
      <c r="G93" s="12" t="inlineStr">
        <is>
          <t>EI</t>
        </is>
      </c>
      <c r="H93" s="14">
        <f>IF(G93="ILF",7,IF(G93="EO",5,IF(G93="EIF",5,IF(G93="EI",4,IF(G93="EQ",4,5)))))</f>
        <v/>
      </c>
      <c r="I93" s="12" t="inlineStr">
        <is>
          <t>高</t>
        </is>
      </c>
      <c r="J93" s="12" t="inlineStr">
        <is>
          <t>新增</t>
        </is>
      </c>
      <c r="K93" s="14">
        <f>IF(J93="新增",IF(I93="高",H93*0.33,IF(I93="中",H93*0.67,H93)),H93*0.5)</f>
        <v/>
      </c>
      <c r="L93" s="13" t="inlineStr"/>
    </row>
    <row r="94" ht="30" customHeight="1">
      <c r="A94" s="12" t="n">
        <v>85</v>
      </c>
      <c r="B94" s="13" t="inlineStr">
        <is>
          <t>监控管理应用</t>
        </is>
      </c>
      <c r="C94" s="13" t="inlineStr">
        <is>
          <t>复盘流程</t>
        </is>
      </c>
      <c r="D94" s="13" t="inlineStr">
        <is>
          <t>复盘流程</t>
        </is>
      </c>
      <c r="E94" s="13" t="inlineStr">
        <is>
          <t>复盘流转</t>
        </is>
      </c>
      <c r="F94" s="13" t="inlineStr">
        <is>
          <t>地市网络指挥调度中心复盘工单驳回</t>
        </is>
      </c>
      <c r="G94" s="12" t="inlineStr">
        <is>
          <t>EO</t>
        </is>
      </c>
      <c r="H94" s="14">
        <f>IF(G94="ILF",7,IF(G94="EO",5,IF(G94="EIF",5,IF(G94="EI",4,IF(G94="EQ",4,5)))))</f>
        <v/>
      </c>
      <c r="I94" s="12" t="inlineStr">
        <is>
          <t>高</t>
        </is>
      </c>
      <c r="J94" s="12" t="inlineStr">
        <is>
          <t>新增</t>
        </is>
      </c>
      <c r="K94" s="14">
        <f>IF(J94="新增",IF(I94="高",H94*0.33,IF(I94="中",H94*0.67,H94)),H94*0.5)</f>
        <v/>
      </c>
      <c r="L94" s="13" t="inlineStr"/>
    </row>
    <row r="95" ht="30" customHeight="1">
      <c r="A95" s="12" t="n">
        <v>86</v>
      </c>
      <c r="B95" s="13" t="inlineStr">
        <is>
          <t>监控管理应用</t>
        </is>
      </c>
      <c r="C95" s="13" t="inlineStr">
        <is>
          <t>复盘流程</t>
        </is>
      </c>
      <c r="D95" s="13" t="inlineStr">
        <is>
          <t>复盘流程</t>
        </is>
      </c>
      <c r="E95" s="13" t="inlineStr">
        <is>
          <t>复盘流转</t>
        </is>
      </c>
      <c r="F95" s="13" t="inlineStr">
        <is>
          <t>地市网络指挥调度中心复盘工单驳回流转复盘建单人</t>
        </is>
      </c>
      <c r="G95" s="12" t="inlineStr">
        <is>
          <t>EO</t>
        </is>
      </c>
      <c r="H95" s="14">
        <f>IF(G95="ILF",7,IF(G95="EO",5,IF(G95="EIF",5,IF(G95="EI",4,IF(G95="EQ",4,5)))))</f>
        <v/>
      </c>
      <c r="I95" s="12" t="inlineStr">
        <is>
          <t>高</t>
        </is>
      </c>
      <c r="J95" s="12" t="inlineStr">
        <is>
          <t>新增</t>
        </is>
      </c>
      <c r="K95" s="14">
        <f>IF(J95="新增",IF(I95="高",H95*0.33,IF(I95="中",H95*0.67,H95)),H95*0.5)</f>
        <v/>
      </c>
      <c r="L95" s="13" t="inlineStr"/>
    </row>
    <row r="96" ht="30" customHeight="1">
      <c r="A96" s="12" t="n">
        <v>87</v>
      </c>
      <c r="B96" s="13" t="inlineStr">
        <is>
          <t>监控管理应用</t>
        </is>
      </c>
      <c r="C96" s="13" t="inlineStr">
        <is>
          <t>复盘流程</t>
        </is>
      </c>
      <c r="D96" s="13" t="inlineStr">
        <is>
          <t>复盘流程</t>
        </is>
      </c>
      <c r="E96" s="13" t="inlineStr">
        <is>
          <t>复盘流转</t>
        </is>
      </c>
      <c r="F96" s="13" t="inlineStr">
        <is>
          <t>复盘泳道状态更新</t>
        </is>
      </c>
      <c r="G96" s="12" t="inlineStr">
        <is>
          <t>EO</t>
        </is>
      </c>
      <c r="H96" s="14">
        <f>IF(G96="ILF",7,IF(G96="EO",5,IF(G96="EIF",5,IF(G96="EI",4,IF(G96="EQ",4,5)))))</f>
        <v/>
      </c>
      <c r="I96" s="12" t="inlineStr">
        <is>
          <t>高</t>
        </is>
      </c>
      <c r="J96" s="12" t="inlineStr">
        <is>
          <t>新增</t>
        </is>
      </c>
      <c r="K96" s="14">
        <f>IF(J96="新增",IF(I96="高",H96*0.33,IF(I96="中",H96*0.67,H96)),H96*0.5)</f>
        <v/>
      </c>
      <c r="L96" s="13" t="inlineStr"/>
    </row>
    <row r="97" ht="30" customHeight="1">
      <c r="A97" s="12" t="n">
        <v>88</v>
      </c>
      <c r="B97" s="13" t="inlineStr">
        <is>
          <t>监控管理应用</t>
        </is>
      </c>
      <c r="C97" s="13" t="inlineStr">
        <is>
          <t>复盘流程</t>
        </is>
      </c>
      <c r="D97" s="13" t="inlineStr">
        <is>
          <t>复盘流程</t>
        </is>
      </c>
      <c r="E97" s="13" t="inlineStr">
        <is>
          <t>复盘流转</t>
        </is>
      </c>
      <c r="F97" s="13" t="inlineStr">
        <is>
          <t>复盘泳道状态表</t>
        </is>
      </c>
      <c r="G97" s="12" t="inlineStr">
        <is>
          <t>EO</t>
        </is>
      </c>
      <c r="H97" s="14">
        <f>IF(G97="ILF",7,IF(G97="EO",5,IF(G97="EIF",5,IF(G97="EI",4,IF(G97="EQ",4,5)))))</f>
        <v/>
      </c>
      <c r="I97" s="12" t="inlineStr">
        <is>
          <t>高</t>
        </is>
      </c>
      <c r="J97" s="12" t="inlineStr">
        <is>
          <t>新增</t>
        </is>
      </c>
      <c r="K97" s="14">
        <f>IF(J97="新增",IF(I97="高",H97*0.33,IF(I97="中",H97*0.67,H97)),H97*0.5)</f>
        <v/>
      </c>
      <c r="L97" s="13" t="inlineStr"/>
    </row>
    <row r="98" ht="30" customHeight="1">
      <c r="A98" s="12" t="n">
        <v>89</v>
      </c>
      <c r="B98" s="13" t="inlineStr">
        <is>
          <t>监控管理应用</t>
        </is>
      </c>
      <c r="C98" s="13" t="inlineStr">
        <is>
          <t>复盘流程</t>
        </is>
      </c>
      <c r="D98" s="13" t="inlineStr">
        <is>
          <t>复盘流程</t>
        </is>
      </c>
      <c r="E98" s="13" t="inlineStr">
        <is>
          <t>复盘流转</t>
        </is>
      </c>
      <c r="F98" s="13" t="inlineStr">
        <is>
          <t>复盘基本信息呈现</t>
        </is>
      </c>
      <c r="G98" s="12" t="inlineStr">
        <is>
          <t>EO</t>
        </is>
      </c>
      <c r="H98" s="14">
        <f>IF(G98="ILF",7,IF(G98="EO",5,IF(G98="EIF",5,IF(G98="EI",4,IF(G98="EQ",4,5)))))</f>
        <v/>
      </c>
      <c r="I98" s="12" t="inlineStr">
        <is>
          <t>高</t>
        </is>
      </c>
      <c r="J98" s="12" t="inlineStr">
        <is>
          <t>新增</t>
        </is>
      </c>
      <c r="K98" s="14">
        <f>IF(J98="新增",IF(I98="高",H98*0.33,IF(I98="中",H98*0.67,H98)),H98*0.5)</f>
        <v/>
      </c>
      <c r="L98" s="13" t="inlineStr"/>
    </row>
    <row r="99" ht="30" customHeight="1">
      <c r="A99" s="12" t="n">
        <v>90</v>
      </c>
      <c r="B99" s="13" t="inlineStr">
        <is>
          <t>监控管理应用</t>
        </is>
      </c>
      <c r="C99" s="13" t="inlineStr">
        <is>
          <t>复盘流程</t>
        </is>
      </c>
      <c r="D99" s="13" t="inlineStr">
        <is>
          <t>复盘流程</t>
        </is>
      </c>
      <c r="E99" s="13" t="inlineStr">
        <is>
          <t>复盘流转</t>
        </is>
      </c>
      <c r="F99" s="13" t="inlineStr">
        <is>
          <t>复盘关联预警信息呈现</t>
        </is>
      </c>
      <c r="G99" s="12" t="inlineStr">
        <is>
          <t>EO</t>
        </is>
      </c>
      <c r="H99" s="14">
        <f>IF(G99="ILF",7,IF(G99="EO",5,IF(G99="EIF",5,IF(G99="EI",4,IF(G99="EQ",4,5)))))</f>
        <v/>
      </c>
      <c r="I99" s="12" t="inlineStr">
        <is>
          <t>高</t>
        </is>
      </c>
      <c r="J99" s="12" t="inlineStr">
        <is>
          <t>新增</t>
        </is>
      </c>
      <c r="K99" s="14">
        <f>IF(J99="新增",IF(I99="高",H99*0.33,IF(I99="中",H99*0.67,H99)),H99*0.5)</f>
        <v/>
      </c>
      <c r="L99" s="13" t="inlineStr"/>
    </row>
    <row r="100" ht="30" customHeight="1">
      <c r="A100" s="12" t="n">
        <v>91</v>
      </c>
      <c r="B100" s="13" t="inlineStr">
        <is>
          <t>监控管理应用</t>
        </is>
      </c>
      <c r="C100" s="13" t="inlineStr">
        <is>
          <t>复盘流程</t>
        </is>
      </c>
      <c r="D100" s="13" t="inlineStr">
        <is>
          <t>复盘流程</t>
        </is>
      </c>
      <c r="E100" s="13" t="inlineStr">
        <is>
          <t>复盘流转</t>
        </is>
      </c>
      <c r="F100" s="13" t="inlineStr">
        <is>
          <t>地市专业室确认是否隐患功能</t>
        </is>
      </c>
      <c r="G100" s="12" t="inlineStr">
        <is>
          <t>EO</t>
        </is>
      </c>
      <c r="H100" s="14">
        <f>IF(G100="ILF",7,IF(G100="EO",5,IF(G100="EIF",5,IF(G100="EI",4,IF(G100="EQ",4,5)))))</f>
        <v/>
      </c>
      <c r="I100" s="12" t="inlineStr">
        <is>
          <t>高</t>
        </is>
      </c>
      <c r="J100" s="12" t="inlineStr">
        <is>
          <t>新增</t>
        </is>
      </c>
      <c r="K100" s="14">
        <f>IF(J100="新增",IF(I100="高",H100*0.33,IF(I100="中",H100*0.67,H100)),H100*0.5)</f>
        <v/>
      </c>
      <c r="L100" s="13" t="inlineStr"/>
    </row>
    <row r="101" ht="30" customHeight="1">
      <c r="A101" s="12" t="n">
        <v>92</v>
      </c>
      <c r="B101" s="13" t="inlineStr">
        <is>
          <t>监控管理应用</t>
        </is>
      </c>
      <c r="C101" s="13" t="inlineStr">
        <is>
          <t>复盘流程</t>
        </is>
      </c>
      <c r="D101" s="13" t="inlineStr">
        <is>
          <t>复盘流程</t>
        </is>
      </c>
      <c r="E101" s="13" t="inlineStr">
        <is>
          <t>复盘流转</t>
        </is>
      </c>
      <c r="F101" s="13" t="inlineStr">
        <is>
          <t>派发地市专业室经理功能</t>
        </is>
      </c>
      <c r="G101" s="12" t="inlineStr">
        <is>
          <t>EO</t>
        </is>
      </c>
      <c r="H101" s="14">
        <f>IF(G101="ILF",7,IF(G101="EO",5,IF(G101="EIF",5,IF(G101="EI",4,IF(G101="EQ",4,5)))))</f>
        <v/>
      </c>
      <c r="I101" s="12" t="inlineStr">
        <is>
          <t>高</t>
        </is>
      </c>
      <c r="J101" s="12" t="inlineStr">
        <is>
          <t>新增</t>
        </is>
      </c>
      <c r="K101" s="14">
        <f>IF(J101="新增",IF(I101="高",H101*0.33,IF(I101="中",H101*0.67,H101)),H101*0.5)</f>
        <v/>
      </c>
      <c r="L101" s="13" t="inlineStr"/>
    </row>
    <row r="102" ht="30" customHeight="1">
      <c r="A102" s="12" t="n">
        <v>93</v>
      </c>
      <c r="B102" s="13" t="inlineStr">
        <is>
          <t>监控管理应用</t>
        </is>
      </c>
      <c r="C102" s="13" t="inlineStr">
        <is>
          <t>复盘流程</t>
        </is>
      </c>
      <c r="D102" s="13" t="inlineStr">
        <is>
          <t>复盘流程</t>
        </is>
      </c>
      <c r="E102" s="13" t="inlineStr">
        <is>
          <t>复盘流转</t>
        </is>
      </c>
      <c r="F102" s="13" t="inlineStr">
        <is>
          <t>消息通知地市专业室经理审核</t>
        </is>
      </c>
      <c r="G102" s="12" t="inlineStr">
        <is>
          <t>EO</t>
        </is>
      </c>
      <c r="H102" s="14">
        <f>IF(G102="ILF",7,IF(G102="EO",5,IF(G102="EIF",5,IF(G102="EI",4,IF(G102="EQ",4,5)))))</f>
        <v/>
      </c>
      <c r="I102" s="12" t="inlineStr">
        <is>
          <t>高</t>
        </is>
      </c>
      <c r="J102" s="12" t="inlineStr">
        <is>
          <t>新增</t>
        </is>
      </c>
      <c r="K102" s="14">
        <f>IF(J102="新增",IF(I102="高",H102*0.33,IF(I102="中",H102*0.67,H102)),H102*0.5)</f>
        <v/>
      </c>
      <c r="L102" s="13" t="inlineStr"/>
    </row>
    <row r="103" ht="30" customHeight="1">
      <c r="A103" s="12" t="n">
        <v>94</v>
      </c>
      <c r="B103" s="13" t="inlineStr">
        <is>
          <t>监控管理应用</t>
        </is>
      </c>
      <c r="C103" s="13" t="inlineStr">
        <is>
          <t>复盘流程</t>
        </is>
      </c>
      <c r="D103" s="13" t="inlineStr">
        <is>
          <t>复盘流程</t>
        </is>
      </c>
      <c r="E103" s="13" t="inlineStr">
        <is>
          <t>复盘流转</t>
        </is>
      </c>
      <c r="F103" s="13" t="inlineStr">
        <is>
          <t>同OLT和停电欠压无隐患复盘总结输出</t>
        </is>
      </c>
      <c r="G103" s="12" t="inlineStr">
        <is>
          <t>EO</t>
        </is>
      </c>
      <c r="H103" s="14">
        <f>IF(G103="ILF",7,IF(G103="EO",5,IF(G103="EIF",5,IF(G103="EI",4,IF(G103="EQ",4,5)))))</f>
        <v/>
      </c>
      <c r="I103" s="12" t="inlineStr">
        <is>
          <t>高</t>
        </is>
      </c>
      <c r="J103" s="12" t="inlineStr">
        <is>
          <t>新增</t>
        </is>
      </c>
      <c r="K103" s="14">
        <f>IF(J103="新增",IF(I103="高",H103*0.33,IF(I103="中",H103*0.67,H103)),H103*0.5)</f>
        <v/>
      </c>
      <c r="L103" s="13" t="inlineStr"/>
    </row>
    <row r="104" ht="30" customHeight="1">
      <c r="A104" s="12" t="n">
        <v>95</v>
      </c>
      <c r="B104" s="13" t="inlineStr">
        <is>
          <t>监控管理应用</t>
        </is>
      </c>
      <c r="C104" s="13" t="inlineStr">
        <is>
          <t>复盘流程</t>
        </is>
      </c>
      <c r="D104" s="13" t="inlineStr">
        <is>
          <t>复盘流程</t>
        </is>
      </c>
      <c r="E104" s="13" t="inlineStr">
        <is>
          <t>复盘流转</t>
        </is>
      </c>
      <c r="F104" s="13" t="inlineStr">
        <is>
          <t>同OLT和停电欠压关联人工打钩选择现有活动隐患复盘总结输出</t>
        </is>
      </c>
      <c r="G104" s="12" t="inlineStr">
        <is>
          <t>EO</t>
        </is>
      </c>
      <c r="H104" s="14">
        <f>IF(G104="ILF",7,IF(G104="EO",5,IF(G104="EIF",5,IF(G104="EI",4,IF(G104="EQ",4,5)))))</f>
        <v/>
      </c>
      <c r="I104" s="12" t="inlineStr">
        <is>
          <t>高</t>
        </is>
      </c>
      <c r="J104" s="12" t="inlineStr">
        <is>
          <t>新增</t>
        </is>
      </c>
      <c r="K104" s="14">
        <f>IF(J104="新增",IF(I104="高",H104*0.33,IF(I104="中",H104*0.67,H104)),H104*0.5)</f>
        <v/>
      </c>
      <c r="L104" s="13" t="inlineStr"/>
    </row>
    <row r="105" ht="30" customHeight="1">
      <c r="A105" s="12" t="n">
        <v>96</v>
      </c>
      <c r="B105" s="13" t="inlineStr">
        <is>
          <t>监控管理应用</t>
        </is>
      </c>
      <c r="C105" s="13" t="inlineStr">
        <is>
          <t>复盘流程</t>
        </is>
      </c>
      <c r="D105" s="13" t="inlineStr">
        <is>
          <t>复盘流程</t>
        </is>
      </c>
      <c r="E105" s="13" t="inlineStr">
        <is>
          <t>复盘流转</t>
        </is>
      </c>
      <c r="F105" s="13" t="inlineStr">
        <is>
          <t>同OLT和停电欠压关联新建活动隐患复盘总结输出</t>
        </is>
      </c>
      <c r="G105" s="12" t="inlineStr">
        <is>
          <t>EO</t>
        </is>
      </c>
      <c r="H105" s="14">
        <f>IF(G105="ILF",7,IF(G105="EO",5,IF(G105="EIF",5,IF(G105="EI",4,IF(G105="EQ",4,5)))))</f>
        <v/>
      </c>
      <c r="I105" s="12" t="inlineStr">
        <is>
          <t>高</t>
        </is>
      </c>
      <c r="J105" s="12" t="inlineStr">
        <is>
          <t>新增</t>
        </is>
      </c>
      <c r="K105" s="14">
        <f>IF(J105="新增",IF(I105="高",H105*0.33,IF(I105="中",H105*0.67,H105)),H105*0.5)</f>
        <v/>
      </c>
      <c r="L105" s="13" t="inlineStr"/>
    </row>
    <row r="106" ht="30" customHeight="1">
      <c r="A106" s="12" t="n">
        <v>97</v>
      </c>
      <c r="B106" s="13" t="inlineStr">
        <is>
          <t>监控管理应用</t>
        </is>
      </c>
      <c r="C106" s="13" t="inlineStr">
        <is>
          <t>复盘流程</t>
        </is>
      </c>
      <c r="D106" s="13" t="inlineStr">
        <is>
          <t>复盘流程</t>
        </is>
      </c>
      <c r="E106" s="13" t="inlineStr">
        <is>
          <t>复盘流转</t>
        </is>
      </c>
      <c r="F106" s="13" t="inlineStr">
        <is>
          <t>同段落无隐患复盘总结输出</t>
        </is>
      </c>
      <c r="G106" s="12" t="inlineStr">
        <is>
          <t>EO</t>
        </is>
      </c>
      <c r="H106" s="14">
        <f>IF(G106="ILF",7,IF(G106="EO",5,IF(G106="EIF",5,IF(G106="EI",4,IF(G106="EQ",4,5)))))</f>
        <v/>
      </c>
      <c r="I106" s="12" t="inlineStr">
        <is>
          <t>高</t>
        </is>
      </c>
      <c r="J106" s="12" t="inlineStr">
        <is>
          <t>新增</t>
        </is>
      </c>
      <c r="K106" s="14">
        <f>IF(J106="新增",IF(I106="高",H106*0.33,IF(I106="中",H106*0.67,H106)),H106*0.5)</f>
        <v/>
      </c>
      <c r="L106" s="13" t="inlineStr"/>
    </row>
    <row r="107" ht="30" customHeight="1">
      <c r="A107" s="12" t="n">
        <v>98</v>
      </c>
      <c r="B107" s="13" t="inlineStr">
        <is>
          <t>监控管理应用</t>
        </is>
      </c>
      <c r="C107" s="13" t="inlineStr">
        <is>
          <t>复盘流程</t>
        </is>
      </c>
      <c r="D107" s="13" t="inlineStr">
        <is>
          <t>复盘流程</t>
        </is>
      </c>
      <c r="E107" s="13" t="inlineStr">
        <is>
          <t>复盘流转</t>
        </is>
      </c>
      <c r="F107" s="13" t="inlineStr">
        <is>
          <t>同段落关联人工打钩选择现有活动隐患复盘总结输出</t>
        </is>
      </c>
      <c r="G107" s="12" t="inlineStr">
        <is>
          <t>EO</t>
        </is>
      </c>
      <c r="H107" s="14">
        <f>IF(G107="ILF",7,IF(G107="EO",5,IF(G107="EIF",5,IF(G107="EI",4,IF(G107="EQ",4,5)))))</f>
        <v/>
      </c>
      <c r="I107" s="12" t="inlineStr">
        <is>
          <t>高</t>
        </is>
      </c>
      <c r="J107" s="12" t="inlineStr">
        <is>
          <t>新增</t>
        </is>
      </c>
      <c r="K107" s="14">
        <f>IF(J107="新增",IF(I107="高",H107*0.33,IF(I107="中",H107*0.67,H107)),H107*0.5)</f>
        <v/>
      </c>
      <c r="L107" s="13" t="inlineStr"/>
    </row>
    <row r="108" ht="30" customHeight="1">
      <c r="A108" s="12" t="n">
        <v>99</v>
      </c>
      <c r="B108" s="13" t="inlineStr">
        <is>
          <t>监控管理应用</t>
        </is>
      </c>
      <c r="C108" s="13" t="inlineStr">
        <is>
          <t>复盘流程</t>
        </is>
      </c>
      <c r="D108" s="13" t="inlineStr">
        <is>
          <t>复盘流程</t>
        </is>
      </c>
      <c r="E108" s="13" t="inlineStr">
        <is>
          <t>复盘流转</t>
        </is>
      </c>
      <c r="F108" s="13" t="inlineStr">
        <is>
          <t>同段落关联新建活动隐患复盘总结输出</t>
        </is>
      </c>
      <c r="G108" s="12" t="inlineStr">
        <is>
          <t>EO</t>
        </is>
      </c>
      <c r="H108" s="14">
        <f>IF(G108="ILF",7,IF(G108="EO",5,IF(G108="EIF",5,IF(G108="EI",4,IF(G108="EQ",4,5)))))</f>
        <v/>
      </c>
      <c r="I108" s="12" t="inlineStr">
        <is>
          <t>高</t>
        </is>
      </c>
      <c r="J108" s="12" t="inlineStr">
        <is>
          <t>新增</t>
        </is>
      </c>
      <c r="K108" s="14">
        <f>IF(J108="新增",IF(I108="高",H108*0.33,IF(I108="中",H108*0.67,H108)),H108*0.5)</f>
        <v/>
      </c>
      <c r="L108" s="13" t="inlineStr"/>
    </row>
    <row r="109" ht="30" customHeight="1">
      <c r="A109" s="12" t="n">
        <v>100</v>
      </c>
      <c r="B109" s="13" t="inlineStr">
        <is>
          <t>监控管理应用</t>
        </is>
      </c>
      <c r="C109" s="13" t="inlineStr">
        <is>
          <t>复盘流程</t>
        </is>
      </c>
      <c r="D109" s="13" t="inlineStr">
        <is>
          <t>复盘流程</t>
        </is>
      </c>
      <c r="E109" s="13" t="inlineStr">
        <is>
          <t>复盘流转</t>
        </is>
      </c>
      <c r="F109" s="13" t="inlineStr">
        <is>
          <t>根据省公司及地市专业室是否重复故障进行总结输出</t>
        </is>
      </c>
      <c r="G109" s="12" t="inlineStr">
        <is>
          <t>EO</t>
        </is>
      </c>
      <c r="H109" s="14">
        <f>IF(G109="ILF",7,IF(G109="EO",5,IF(G109="EIF",5,IF(G109="EI",4,IF(G109="EQ",4,5)))))</f>
        <v/>
      </c>
      <c r="I109" s="12" t="inlineStr">
        <is>
          <t>高</t>
        </is>
      </c>
      <c r="J109" s="12" t="inlineStr">
        <is>
          <t>新增</t>
        </is>
      </c>
      <c r="K109" s="14">
        <f>IF(J109="新增",IF(I109="高",H109*0.33,IF(I109="中",H109*0.67,H109)),H109*0.5)</f>
        <v/>
      </c>
      <c r="L109" s="13" t="inlineStr"/>
    </row>
    <row r="110" ht="30" customHeight="1">
      <c r="A110" s="12" t="n">
        <v>101</v>
      </c>
      <c r="B110" s="13" t="inlineStr">
        <is>
          <t>监控管理应用</t>
        </is>
      </c>
      <c r="C110" s="13" t="inlineStr">
        <is>
          <t>复盘流程</t>
        </is>
      </c>
      <c r="D110" s="13" t="inlineStr">
        <is>
          <t>复盘流程</t>
        </is>
      </c>
      <c r="E110" s="13" t="inlineStr">
        <is>
          <t>复盘流转</t>
        </is>
      </c>
      <c r="F110" s="13" t="inlineStr">
        <is>
          <t>根据省公司及地市专业室是否隐患进行总结输出</t>
        </is>
      </c>
      <c r="G110" s="12" t="inlineStr">
        <is>
          <t>EO</t>
        </is>
      </c>
      <c r="H110" s="14">
        <f>IF(G110="ILF",7,IF(G110="EO",5,IF(G110="EIF",5,IF(G110="EI",4,IF(G110="EQ",4,5)))))</f>
        <v/>
      </c>
      <c r="I110" s="12" t="inlineStr">
        <is>
          <t>高</t>
        </is>
      </c>
      <c r="J110" s="12" t="inlineStr">
        <is>
          <t>新增</t>
        </is>
      </c>
      <c r="K110" s="14">
        <f>IF(J110="新增",IF(I110="高",H110*0.33,IF(I110="中",H110*0.67,H110)),H110*0.5)</f>
        <v/>
      </c>
      <c r="L110" s="13" t="inlineStr"/>
    </row>
    <row r="111" ht="30" customHeight="1">
      <c r="A111" s="12" t="n">
        <v>102</v>
      </c>
      <c r="B111" s="13" t="inlineStr">
        <is>
          <t>监控管理应用</t>
        </is>
      </c>
      <c r="C111" s="13" t="inlineStr">
        <is>
          <t>复盘流程</t>
        </is>
      </c>
      <c r="D111" s="13" t="inlineStr">
        <is>
          <t>复盘流程</t>
        </is>
      </c>
      <c r="E111" s="13" t="inlineStr">
        <is>
          <t>复盘流转</t>
        </is>
      </c>
      <c r="F111" s="13" t="inlineStr">
        <is>
          <t>复盘报告总结生成</t>
        </is>
      </c>
      <c r="G111" s="12" t="inlineStr">
        <is>
          <t>EO</t>
        </is>
      </c>
      <c r="H111" s="14">
        <f>IF(G111="ILF",7,IF(G111="EO",5,IF(G111="EIF",5,IF(G111="EI",4,IF(G111="EQ",4,5)))))</f>
        <v/>
      </c>
      <c r="I111" s="12" t="inlineStr">
        <is>
          <t>高</t>
        </is>
      </c>
      <c r="J111" s="12" t="inlineStr">
        <is>
          <t>新增</t>
        </is>
      </c>
      <c r="K111" s="14">
        <f>IF(J111="新增",IF(I111="高",H111*0.33,IF(I111="中",H111*0.67,H111)),H111*0.5)</f>
        <v/>
      </c>
      <c r="L111" s="13" t="inlineStr"/>
    </row>
    <row r="112" ht="30" customHeight="1">
      <c r="A112" s="12" t="n">
        <v>103</v>
      </c>
      <c r="B112" s="13" t="inlineStr">
        <is>
          <t>监控管理应用</t>
        </is>
      </c>
      <c r="C112" s="13" t="inlineStr">
        <is>
          <t>复盘流程</t>
        </is>
      </c>
      <c r="D112" s="13" t="inlineStr">
        <is>
          <t>复盘流程</t>
        </is>
      </c>
      <c r="E112" s="13" t="inlineStr">
        <is>
          <t>复盘流转</t>
        </is>
      </c>
      <c r="F112" s="13" t="inlineStr">
        <is>
          <t>地市专业室经理审核通过</t>
        </is>
      </c>
      <c r="G112" s="12" t="inlineStr">
        <is>
          <t>EO</t>
        </is>
      </c>
      <c r="H112" s="14">
        <f>IF(G112="ILF",7,IF(G112="EO",5,IF(G112="EIF",5,IF(G112="EI",4,IF(G112="EQ",4,5)))))</f>
        <v/>
      </c>
      <c r="I112" s="12" t="inlineStr">
        <is>
          <t>高</t>
        </is>
      </c>
      <c r="J112" s="12" t="inlineStr">
        <is>
          <t>新增</t>
        </is>
      </c>
      <c r="K112" s="14">
        <f>IF(J112="新增",IF(I112="高",H112*0.33,IF(I112="中",H112*0.67,H112)),H112*0.5)</f>
        <v/>
      </c>
      <c r="L112" s="13" t="inlineStr"/>
    </row>
    <row r="113" ht="30" customHeight="1">
      <c r="A113" s="12" t="n">
        <v>104</v>
      </c>
      <c r="B113" s="13" t="inlineStr">
        <is>
          <t>监控管理应用</t>
        </is>
      </c>
      <c r="C113" s="13" t="inlineStr">
        <is>
          <t>复盘流程</t>
        </is>
      </c>
      <c r="D113" s="13" t="inlineStr">
        <is>
          <t>复盘流程</t>
        </is>
      </c>
      <c r="E113" s="13" t="inlineStr">
        <is>
          <t>复盘流转</t>
        </is>
      </c>
      <c r="F113" s="13" t="inlineStr">
        <is>
          <t>地市专业室经理审核驳回</t>
        </is>
      </c>
      <c r="G113" s="12" t="inlineStr">
        <is>
          <t>EO</t>
        </is>
      </c>
      <c r="H113" s="14">
        <f>IF(G113="ILF",7,IF(G113="EO",5,IF(G113="EIF",5,IF(G113="EI",4,IF(G113="EQ",4,5)))))</f>
        <v/>
      </c>
      <c r="I113" s="12" t="inlineStr">
        <is>
          <t>高</t>
        </is>
      </c>
      <c r="J113" s="12" t="inlineStr">
        <is>
          <t>新增</t>
        </is>
      </c>
      <c r="K113" s="14">
        <f>IF(J113="新增",IF(I113="高",H113*0.33,IF(I113="中",H113*0.67,H113)),H113*0.5)</f>
        <v/>
      </c>
      <c r="L113" s="13" t="inlineStr"/>
    </row>
    <row r="114" ht="30" customHeight="1">
      <c r="A114" s="12" t="n">
        <v>105</v>
      </c>
      <c r="B114" s="13" t="inlineStr">
        <is>
          <t>监控管理应用</t>
        </is>
      </c>
      <c r="C114" s="13" t="inlineStr">
        <is>
          <t>复盘流程</t>
        </is>
      </c>
      <c r="D114" s="13" t="inlineStr">
        <is>
          <t>复盘流程</t>
        </is>
      </c>
      <c r="E114" s="13" t="inlineStr">
        <is>
          <t>复盘流转</t>
        </is>
      </c>
      <c r="F114" s="13" t="inlineStr">
        <is>
          <t>派发地市网络部分管领导三级功能</t>
        </is>
      </c>
      <c r="G114" s="12" t="inlineStr">
        <is>
          <t>EO</t>
        </is>
      </c>
      <c r="H114" s="14">
        <f>IF(G114="ILF",7,IF(G114="EO",5,IF(G114="EIF",5,IF(G114="EI",4,IF(G114="EQ",4,5)))))</f>
        <v/>
      </c>
      <c r="I114" s="12" t="inlineStr">
        <is>
          <t>高</t>
        </is>
      </c>
      <c r="J114" s="12" t="inlineStr">
        <is>
          <t>新增</t>
        </is>
      </c>
      <c r="K114" s="14">
        <f>IF(J114="新增",IF(I114="高",H114*0.33,IF(I114="中",H114*0.67,H114)),H114*0.5)</f>
        <v/>
      </c>
      <c r="L114" s="13" t="inlineStr"/>
    </row>
    <row r="115" ht="30" customHeight="1">
      <c r="A115" s="12" t="n">
        <v>106</v>
      </c>
      <c r="B115" s="13" t="inlineStr">
        <is>
          <t>监控管理应用</t>
        </is>
      </c>
      <c r="C115" s="13" t="inlineStr">
        <is>
          <t>复盘流程</t>
        </is>
      </c>
      <c r="D115" s="13" t="inlineStr">
        <is>
          <t>复盘流程</t>
        </is>
      </c>
      <c r="E115" s="13" t="inlineStr">
        <is>
          <t>复盘流转</t>
        </is>
      </c>
      <c r="F115" s="13" t="inlineStr">
        <is>
          <t>消息通知地市网络部分管领导三级审核</t>
        </is>
      </c>
      <c r="G115" s="12" t="inlineStr">
        <is>
          <t>EO</t>
        </is>
      </c>
      <c r="H115" s="14">
        <f>IF(G115="ILF",7,IF(G115="EO",5,IF(G115="EIF",5,IF(G115="EI",4,IF(G115="EQ",4,5)))))</f>
        <v/>
      </c>
      <c r="I115" s="12" t="inlineStr">
        <is>
          <t>高</t>
        </is>
      </c>
      <c r="J115" s="12" t="inlineStr">
        <is>
          <t>新增</t>
        </is>
      </c>
      <c r="K115" s="14">
        <f>IF(J115="新增",IF(I115="高",H115*0.33,IF(I115="中",H115*0.67,H115)),H115*0.5)</f>
        <v/>
      </c>
      <c r="L115" s="13" t="inlineStr"/>
    </row>
    <row r="116" ht="30" customHeight="1">
      <c r="A116" s="12" t="n">
        <v>107</v>
      </c>
      <c r="B116" s="13" t="inlineStr">
        <is>
          <t>监控管理应用</t>
        </is>
      </c>
      <c r="C116" s="13" t="inlineStr">
        <is>
          <t>复盘流程</t>
        </is>
      </c>
      <c r="D116" s="13" t="inlineStr">
        <is>
          <t>复盘流程</t>
        </is>
      </c>
      <c r="E116" s="13" t="inlineStr">
        <is>
          <t>复盘流转</t>
        </is>
      </c>
      <c r="F116" s="13" t="inlineStr">
        <is>
          <t>地市网络部分管领导三级审核通过</t>
        </is>
      </c>
      <c r="G116" s="12" t="inlineStr">
        <is>
          <t>EO</t>
        </is>
      </c>
      <c r="H116" s="14">
        <f>IF(G116="ILF",7,IF(G116="EO",5,IF(G116="EIF",5,IF(G116="EI",4,IF(G116="EQ",4,5)))))</f>
        <v/>
      </c>
      <c r="I116" s="12" t="inlineStr">
        <is>
          <t>高</t>
        </is>
      </c>
      <c r="J116" s="12" t="inlineStr">
        <is>
          <t>新增</t>
        </is>
      </c>
      <c r="K116" s="14">
        <f>IF(J116="新增",IF(I116="高",H116*0.33,IF(I116="中",H116*0.67,H116)),H116*0.5)</f>
        <v/>
      </c>
      <c r="L116" s="13" t="inlineStr"/>
    </row>
    <row r="117" ht="30" customHeight="1">
      <c r="A117" s="12" t="n">
        <v>108</v>
      </c>
      <c r="B117" s="13" t="inlineStr">
        <is>
          <t>监控管理应用</t>
        </is>
      </c>
      <c r="C117" s="13" t="inlineStr">
        <is>
          <t>复盘流程</t>
        </is>
      </c>
      <c r="D117" s="13" t="inlineStr">
        <is>
          <t>复盘流程</t>
        </is>
      </c>
      <c r="E117" s="13" t="inlineStr">
        <is>
          <t>复盘流转</t>
        </is>
      </c>
      <c r="F117" s="13" t="inlineStr">
        <is>
          <t>地市网络部分管领导三级审核驳回</t>
        </is>
      </c>
      <c r="G117" s="12" t="inlineStr">
        <is>
          <t>EO</t>
        </is>
      </c>
      <c r="H117" s="14">
        <f>IF(G117="ILF",7,IF(G117="EO",5,IF(G117="EIF",5,IF(G117="EI",4,IF(G117="EQ",4,5)))))</f>
        <v/>
      </c>
      <c r="I117" s="12" t="inlineStr">
        <is>
          <t>高</t>
        </is>
      </c>
      <c r="J117" s="12" t="inlineStr">
        <is>
          <t>新增</t>
        </is>
      </c>
      <c r="K117" s="14">
        <f>IF(J117="新增",IF(I117="高",H117*0.33,IF(I117="中",H117*0.67,H117)),H117*0.5)</f>
        <v/>
      </c>
      <c r="L117" s="13" t="inlineStr"/>
    </row>
    <row r="118" ht="30" customHeight="1">
      <c r="A118" s="12" t="n">
        <v>109</v>
      </c>
      <c r="B118" s="13" t="inlineStr">
        <is>
          <t>监控管理应用</t>
        </is>
      </c>
      <c r="C118" s="13" t="inlineStr">
        <is>
          <t>复盘流程</t>
        </is>
      </c>
      <c r="D118" s="13" t="inlineStr">
        <is>
          <t>复盘流程</t>
        </is>
      </c>
      <c r="E118" s="13" t="inlineStr">
        <is>
          <t>复盘流转</t>
        </is>
      </c>
      <c r="F118" s="13" t="inlineStr">
        <is>
          <t>派发省公司专业室调度长功能</t>
        </is>
      </c>
      <c r="G118" s="12" t="inlineStr">
        <is>
          <t>EO</t>
        </is>
      </c>
      <c r="H118" s="14">
        <f>IF(G118="ILF",7,IF(G118="EO",5,IF(G118="EIF",5,IF(G118="EI",4,IF(G118="EQ",4,5)))))</f>
        <v/>
      </c>
      <c r="I118" s="12" t="inlineStr">
        <is>
          <t>高</t>
        </is>
      </c>
      <c r="J118" s="12" t="inlineStr">
        <is>
          <t>新增</t>
        </is>
      </c>
      <c r="K118" s="14">
        <f>IF(J118="新增",IF(I118="高",H118*0.33,IF(I118="中",H118*0.67,H118)),H118*0.5)</f>
        <v/>
      </c>
      <c r="L118" s="13" t="inlineStr"/>
    </row>
    <row r="119" ht="30" customHeight="1">
      <c r="A119" s="12" t="n">
        <v>110</v>
      </c>
      <c r="B119" s="13" t="inlineStr">
        <is>
          <t>监控管理应用</t>
        </is>
      </c>
      <c r="C119" s="13" t="inlineStr">
        <is>
          <t>复盘流程</t>
        </is>
      </c>
      <c r="D119" s="13" t="inlineStr">
        <is>
          <t>复盘流程</t>
        </is>
      </c>
      <c r="E119" s="13" t="inlineStr">
        <is>
          <t>复盘流转</t>
        </is>
      </c>
      <c r="F119" s="13" t="inlineStr">
        <is>
          <t>消息通知省公司专业室调度长审核</t>
        </is>
      </c>
      <c r="G119" s="12" t="inlineStr">
        <is>
          <t>EO</t>
        </is>
      </c>
      <c r="H119" s="14">
        <f>IF(G119="ILF",7,IF(G119="EO",5,IF(G119="EIF",5,IF(G119="EI",4,IF(G119="EQ",4,5)))))</f>
        <v/>
      </c>
      <c r="I119" s="12" t="inlineStr">
        <is>
          <t>高</t>
        </is>
      </c>
      <c r="J119" s="12" t="inlineStr">
        <is>
          <t>新增</t>
        </is>
      </c>
      <c r="K119" s="14">
        <f>IF(J119="新增",IF(I119="高",H119*0.33,IF(I119="中",H119*0.67,H119)),H119*0.5)</f>
        <v/>
      </c>
      <c r="L119" s="13" t="inlineStr"/>
    </row>
    <row r="120" ht="30" customHeight="1">
      <c r="A120" s="12" t="n">
        <v>111</v>
      </c>
      <c r="B120" s="13" t="inlineStr">
        <is>
          <t>监控管理应用</t>
        </is>
      </c>
      <c r="C120" s="13" t="inlineStr">
        <is>
          <t>复盘流程</t>
        </is>
      </c>
      <c r="D120" s="13" t="inlineStr">
        <is>
          <t>复盘流程</t>
        </is>
      </c>
      <c r="E120" s="13" t="inlineStr">
        <is>
          <t>复盘流转</t>
        </is>
      </c>
      <c r="F120" s="13" t="inlineStr">
        <is>
          <t>省公司专业室调度长审核通过</t>
        </is>
      </c>
      <c r="G120" s="12" t="inlineStr">
        <is>
          <t>EO</t>
        </is>
      </c>
      <c r="H120" s="14">
        <f>IF(G120="ILF",7,IF(G120="EO",5,IF(G120="EIF",5,IF(G120="EI",4,IF(G120="EQ",4,5)))))</f>
        <v/>
      </c>
      <c r="I120" s="12" t="inlineStr">
        <is>
          <t>高</t>
        </is>
      </c>
      <c r="J120" s="12" t="inlineStr">
        <is>
          <t>新增</t>
        </is>
      </c>
      <c r="K120" s="14">
        <f>IF(J120="新增",IF(I120="高",H120*0.33,IF(I120="中",H120*0.67,H120)),H120*0.5)</f>
        <v/>
      </c>
      <c r="L120" s="13" t="inlineStr"/>
    </row>
    <row r="121" ht="30" customHeight="1">
      <c r="A121" s="12" t="n">
        <v>112</v>
      </c>
      <c r="B121" s="13" t="inlineStr">
        <is>
          <t>监控管理应用</t>
        </is>
      </c>
      <c r="C121" s="13" t="inlineStr">
        <is>
          <t>复盘流程</t>
        </is>
      </c>
      <c r="D121" s="13" t="inlineStr">
        <is>
          <t>复盘流程</t>
        </is>
      </c>
      <c r="E121" s="13" t="inlineStr">
        <is>
          <t>复盘流转</t>
        </is>
      </c>
      <c r="F121" s="13" t="inlineStr">
        <is>
          <t>省公司专业室调度长审核驳回</t>
        </is>
      </c>
      <c r="G121" s="12" t="inlineStr">
        <is>
          <t>EO</t>
        </is>
      </c>
      <c r="H121" s="14">
        <f>IF(G121="ILF",7,IF(G121="EO",5,IF(G121="EIF",5,IF(G121="EI",4,IF(G121="EQ",4,5)))))</f>
        <v/>
      </c>
      <c r="I121" s="12" t="inlineStr">
        <is>
          <t>高</t>
        </is>
      </c>
      <c r="J121" s="12" t="inlineStr">
        <is>
          <t>新增</t>
        </is>
      </c>
      <c r="K121" s="14">
        <f>IF(J121="新增",IF(I121="高",H121*0.33,IF(I121="中",H121*0.67,H121)),H121*0.5)</f>
        <v/>
      </c>
      <c r="L121" s="13" t="inlineStr"/>
    </row>
    <row r="122" ht="30" customHeight="1">
      <c r="A122" s="12" t="n">
        <v>113</v>
      </c>
      <c r="B122" s="13" t="inlineStr">
        <is>
          <t>监控管理应用</t>
        </is>
      </c>
      <c r="C122" s="13" t="inlineStr">
        <is>
          <t>复盘流程</t>
        </is>
      </c>
      <c r="D122" s="13" t="inlineStr">
        <is>
          <t>复盘流程</t>
        </is>
      </c>
      <c r="E122" s="13" t="inlineStr">
        <is>
          <t>复盘流转</t>
        </is>
      </c>
      <c r="F122" s="13" t="inlineStr">
        <is>
          <t>派发省公司专业室室经理功能</t>
        </is>
      </c>
      <c r="G122" s="12" t="inlineStr">
        <is>
          <t>EO</t>
        </is>
      </c>
      <c r="H122" s="14">
        <f>IF(G122="ILF",7,IF(G122="EO",5,IF(G122="EIF",5,IF(G122="EI",4,IF(G122="EQ",4,5)))))</f>
        <v/>
      </c>
      <c r="I122" s="12" t="inlineStr">
        <is>
          <t>高</t>
        </is>
      </c>
      <c r="J122" s="12" t="inlineStr">
        <is>
          <t>新增</t>
        </is>
      </c>
      <c r="K122" s="14">
        <f>IF(J122="新增",IF(I122="高",H122*0.33,IF(I122="中",H122*0.67,H122)),H122*0.5)</f>
        <v/>
      </c>
      <c r="L122" s="13" t="inlineStr"/>
    </row>
    <row r="123" ht="30" customHeight="1">
      <c r="A123" s="12" t="n">
        <v>114</v>
      </c>
      <c r="B123" s="13" t="inlineStr">
        <is>
          <t>监控管理应用</t>
        </is>
      </c>
      <c r="C123" s="13" t="inlineStr">
        <is>
          <t>复盘流程</t>
        </is>
      </c>
      <c r="D123" s="13" t="inlineStr">
        <is>
          <t>复盘流程</t>
        </is>
      </c>
      <c r="E123" s="13" t="inlineStr">
        <is>
          <t>复盘流转</t>
        </is>
      </c>
      <c r="F123" s="13" t="inlineStr">
        <is>
          <t>消息通知省公司专业室室经理审核</t>
        </is>
      </c>
      <c r="G123" s="12" t="inlineStr">
        <is>
          <t>EO</t>
        </is>
      </c>
      <c r="H123" s="14">
        <f>IF(G123="ILF",7,IF(G123="EO",5,IF(G123="EIF",5,IF(G123="EI",4,IF(G123="EQ",4,5)))))</f>
        <v/>
      </c>
      <c r="I123" s="12" t="inlineStr">
        <is>
          <t>高</t>
        </is>
      </c>
      <c r="J123" s="12" t="inlineStr">
        <is>
          <t>新增</t>
        </is>
      </c>
      <c r="K123" s="14">
        <f>IF(J123="新增",IF(I123="高",H123*0.33,IF(I123="中",H123*0.67,H123)),H123*0.5)</f>
        <v/>
      </c>
      <c r="L123" s="13" t="inlineStr"/>
    </row>
    <row r="124" ht="30" customHeight="1">
      <c r="A124" s="12" t="n">
        <v>115</v>
      </c>
      <c r="B124" s="13" t="inlineStr">
        <is>
          <t>监控管理应用</t>
        </is>
      </c>
      <c r="C124" s="13" t="inlineStr">
        <is>
          <t>复盘流程</t>
        </is>
      </c>
      <c r="D124" s="13" t="inlineStr">
        <is>
          <t>复盘流程</t>
        </is>
      </c>
      <c r="E124" s="13" t="inlineStr">
        <is>
          <t>复盘流转</t>
        </is>
      </c>
      <c r="F124" s="13" t="inlineStr">
        <is>
          <t>省公司专业室室经理审核通过</t>
        </is>
      </c>
      <c r="G124" s="12" t="inlineStr">
        <is>
          <t>EO</t>
        </is>
      </c>
      <c r="H124" s="14">
        <f>IF(G124="ILF",7,IF(G124="EO",5,IF(G124="EIF",5,IF(G124="EI",4,IF(G124="EQ",4,5)))))</f>
        <v/>
      </c>
      <c r="I124" s="12" t="inlineStr">
        <is>
          <t>高</t>
        </is>
      </c>
      <c r="J124" s="12" t="inlineStr">
        <is>
          <t>新增</t>
        </is>
      </c>
      <c r="K124" s="14">
        <f>IF(J124="新增",IF(I124="高",H124*0.33,IF(I124="中",H124*0.67,H124)),H124*0.5)</f>
        <v/>
      </c>
      <c r="L124" s="13" t="inlineStr"/>
    </row>
    <row r="125" ht="30" customHeight="1">
      <c r="A125" s="12" t="n">
        <v>116</v>
      </c>
      <c r="B125" s="13" t="inlineStr">
        <is>
          <t>监控管理应用</t>
        </is>
      </c>
      <c r="C125" s="13" t="inlineStr">
        <is>
          <t>复盘流程</t>
        </is>
      </c>
      <c r="D125" s="13" t="inlineStr">
        <is>
          <t>复盘流程</t>
        </is>
      </c>
      <c r="E125" s="13" t="inlineStr">
        <is>
          <t>复盘流转</t>
        </is>
      </c>
      <c r="F125" s="13" t="inlineStr">
        <is>
          <t>省公司专业室室经理审核驳回</t>
        </is>
      </c>
      <c r="G125" s="12" t="inlineStr">
        <is>
          <t>EO</t>
        </is>
      </c>
      <c r="H125" s="14">
        <f>IF(G125="ILF",7,IF(G125="EO",5,IF(G125="EIF",5,IF(G125="EI",4,IF(G125="EQ",4,5)))))</f>
        <v/>
      </c>
      <c r="I125" s="12" t="inlineStr">
        <is>
          <t>高</t>
        </is>
      </c>
      <c r="J125" s="12" t="inlineStr">
        <is>
          <t>新增</t>
        </is>
      </c>
      <c r="K125" s="14">
        <f>IF(J125="新增",IF(I125="高",H125*0.33,IF(I125="中",H125*0.67,H125)),H125*0.5)</f>
        <v/>
      </c>
      <c r="L125" s="13" t="inlineStr"/>
    </row>
    <row r="126" ht="30" customHeight="1">
      <c r="A126" s="12" t="n">
        <v>117</v>
      </c>
      <c r="B126" s="13" t="inlineStr">
        <is>
          <t>监控管理应用</t>
        </is>
      </c>
      <c r="C126" s="13" t="inlineStr">
        <is>
          <t>复盘流程</t>
        </is>
      </c>
      <c r="D126" s="13" t="inlineStr">
        <is>
          <t>复盘流程</t>
        </is>
      </c>
      <c r="E126" s="13" t="inlineStr">
        <is>
          <t>复盘流转</t>
        </is>
      </c>
      <c r="F126" s="13" t="inlineStr">
        <is>
          <t>派发省公司故障管理员功能</t>
        </is>
      </c>
      <c r="G126" s="12" t="inlineStr">
        <is>
          <t>EO</t>
        </is>
      </c>
      <c r="H126" s="14">
        <f>IF(G126="ILF",7,IF(G126="EO",5,IF(G126="EIF",5,IF(G126="EI",4,IF(G126="EQ",4,5)))))</f>
        <v/>
      </c>
      <c r="I126" s="12" t="inlineStr">
        <is>
          <t>高</t>
        </is>
      </c>
      <c r="J126" s="12" t="inlineStr">
        <is>
          <t>新增</t>
        </is>
      </c>
      <c r="K126" s="14">
        <f>IF(J126="新增",IF(I126="高",H126*0.33,IF(I126="中",H126*0.67,H126)),H126*0.5)</f>
        <v/>
      </c>
      <c r="L126" s="13" t="inlineStr"/>
    </row>
    <row r="127" ht="30" customHeight="1">
      <c r="A127" s="12" t="n">
        <v>118</v>
      </c>
      <c r="B127" s="13" t="inlineStr">
        <is>
          <t>监控管理应用</t>
        </is>
      </c>
      <c r="C127" s="13" t="inlineStr">
        <is>
          <t>复盘流程</t>
        </is>
      </c>
      <c r="D127" s="13" t="inlineStr">
        <is>
          <t>复盘流程</t>
        </is>
      </c>
      <c r="E127" s="13" t="inlineStr">
        <is>
          <t>复盘流转</t>
        </is>
      </c>
      <c r="F127" s="13" t="inlineStr">
        <is>
          <t>消息通知省公司故障管理员审核</t>
        </is>
      </c>
      <c r="G127" s="12" t="inlineStr">
        <is>
          <t>EO</t>
        </is>
      </c>
      <c r="H127" s="14">
        <f>IF(G127="ILF",7,IF(G127="EO",5,IF(G127="EIF",5,IF(G127="EI",4,IF(G127="EQ",4,5)))))</f>
        <v/>
      </c>
      <c r="I127" s="12" t="inlineStr">
        <is>
          <t>高</t>
        </is>
      </c>
      <c r="J127" s="12" t="inlineStr">
        <is>
          <t>新增</t>
        </is>
      </c>
      <c r="K127" s="14">
        <f>IF(J127="新增",IF(I127="高",H127*0.33,IF(I127="中",H127*0.67,H127)),H127*0.5)</f>
        <v/>
      </c>
      <c r="L127" s="13" t="inlineStr"/>
    </row>
    <row r="128" ht="30" customHeight="1">
      <c r="A128" s="12" t="n">
        <v>119</v>
      </c>
      <c r="B128" s="13" t="inlineStr">
        <is>
          <t>监控管理应用</t>
        </is>
      </c>
      <c r="C128" s="13" t="inlineStr">
        <is>
          <t>复盘流程</t>
        </is>
      </c>
      <c r="D128" s="13" t="inlineStr">
        <is>
          <t>复盘流程</t>
        </is>
      </c>
      <c r="E128" s="13" t="inlineStr">
        <is>
          <t>复盘流转</t>
        </is>
      </c>
      <c r="F128" s="13" t="inlineStr">
        <is>
          <t>复盘归档流转</t>
        </is>
      </c>
      <c r="G128" s="12" t="inlineStr">
        <is>
          <t>EO</t>
        </is>
      </c>
      <c r="H128" s="14">
        <f>IF(G128="ILF",7,IF(G128="EO",5,IF(G128="EIF",5,IF(G128="EI",4,IF(G128="EQ",4,5)))))</f>
        <v/>
      </c>
      <c r="I128" s="12" t="inlineStr">
        <is>
          <t>高</t>
        </is>
      </c>
      <c r="J128" s="12" t="inlineStr">
        <is>
          <t>新增</t>
        </is>
      </c>
      <c r="K128" s="14">
        <f>IF(J128="新增",IF(I128="高",H128*0.33,IF(I128="中",H128*0.67,H128)),H128*0.5)</f>
        <v/>
      </c>
      <c r="L128" s="13" t="inlineStr"/>
    </row>
    <row r="129" ht="30" customHeight="1">
      <c r="A129" s="12" t="n">
        <v>120</v>
      </c>
      <c r="B129" s="13" t="inlineStr">
        <is>
          <t>监控管理应用</t>
        </is>
      </c>
      <c r="C129" s="13" t="inlineStr">
        <is>
          <t>复盘流程</t>
        </is>
      </c>
      <c r="D129" s="13" t="inlineStr">
        <is>
          <t>复盘流程</t>
        </is>
      </c>
      <c r="E129" s="13" t="inlineStr">
        <is>
          <t>复盘流转</t>
        </is>
      </c>
      <c r="F129" s="13" t="inlineStr">
        <is>
          <t>省公司故障管理员复盘驳回节点选择</t>
        </is>
      </c>
      <c r="G129" s="12" t="inlineStr">
        <is>
          <t>EO</t>
        </is>
      </c>
      <c r="H129" s="14">
        <f>IF(G129="ILF",7,IF(G129="EO",5,IF(G129="EIF",5,IF(G129="EI",4,IF(G129="EQ",4,5)))))</f>
        <v/>
      </c>
      <c r="I129" s="12" t="inlineStr">
        <is>
          <t>高</t>
        </is>
      </c>
      <c r="J129" s="12" t="inlineStr">
        <is>
          <t>新增</t>
        </is>
      </c>
      <c r="K129" s="14">
        <f>IF(J129="新增",IF(I129="高",H129*0.33,IF(I129="中",H129*0.67,H129)),H129*0.5)</f>
        <v/>
      </c>
      <c r="L129" s="13" t="inlineStr"/>
    </row>
    <row r="130" ht="30" customHeight="1">
      <c r="A130" s="12" t="n">
        <v>121</v>
      </c>
      <c r="B130" s="13" t="inlineStr">
        <is>
          <t>监控管理应用</t>
        </is>
      </c>
      <c r="C130" s="13" t="inlineStr">
        <is>
          <t>复盘流程</t>
        </is>
      </c>
      <c r="D130" s="13" t="inlineStr">
        <is>
          <t>复盘流程</t>
        </is>
      </c>
      <c r="E130" s="13" t="inlineStr">
        <is>
          <t>复盘流转</t>
        </is>
      </c>
      <c r="F130" s="13" t="inlineStr">
        <is>
          <t>省公司故障管理员复盘驳回原因录入</t>
        </is>
      </c>
      <c r="G130" s="12" t="inlineStr">
        <is>
          <t>EI</t>
        </is>
      </c>
      <c r="H130" s="14">
        <f>IF(G130="ILF",7,IF(G130="EO",5,IF(G130="EIF",5,IF(G130="EI",4,IF(G130="EQ",4,5)))))</f>
        <v/>
      </c>
      <c r="I130" s="12" t="inlineStr">
        <is>
          <t>高</t>
        </is>
      </c>
      <c r="J130" s="12" t="inlineStr">
        <is>
          <t>新增</t>
        </is>
      </c>
      <c r="K130" s="14">
        <f>IF(J130="新增",IF(I130="高",H130*0.33,IF(I130="中",H130*0.67,H130)),H130*0.5)</f>
        <v/>
      </c>
      <c r="L130" s="13" t="inlineStr"/>
    </row>
    <row r="131" ht="30" customHeight="1">
      <c r="A131" s="12" t="n">
        <v>122</v>
      </c>
      <c r="B131" s="13" t="inlineStr">
        <is>
          <t>监控管理应用</t>
        </is>
      </c>
      <c r="C131" s="13" t="inlineStr">
        <is>
          <t>复盘流程</t>
        </is>
      </c>
      <c r="D131" s="13" t="inlineStr">
        <is>
          <t>复盘流程</t>
        </is>
      </c>
      <c r="E131" s="13" t="inlineStr">
        <is>
          <t>复盘流转</t>
        </is>
      </c>
      <c r="F131" s="13" t="inlineStr">
        <is>
          <t>省公司故障管理员复盘驳回任何节点功能</t>
        </is>
      </c>
      <c r="G131" s="12" t="inlineStr">
        <is>
          <t>EO</t>
        </is>
      </c>
      <c r="H131" s="14">
        <f>IF(G131="ILF",7,IF(G131="EO",5,IF(G131="EIF",5,IF(G131="EI",4,IF(G131="EQ",4,5)))))</f>
        <v/>
      </c>
      <c r="I131" s="12" t="inlineStr">
        <is>
          <t>高</t>
        </is>
      </c>
      <c r="J131" s="12" t="inlineStr">
        <is>
          <t>新增</t>
        </is>
      </c>
      <c r="K131" s="14">
        <f>IF(J131="新增",IF(I131="高",H131*0.33,IF(I131="中",H131*0.67,H131)),H131*0.5)</f>
        <v/>
      </c>
      <c r="L131" s="13" t="inlineStr"/>
    </row>
    <row r="132" ht="30" customHeight="1">
      <c r="A132" s="12" t="n">
        <v>123</v>
      </c>
      <c r="B132" s="13" t="inlineStr">
        <is>
          <t>监控管理应用</t>
        </is>
      </c>
      <c r="C132" s="13" t="inlineStr">
        <is>
          <t>复盘流程</t>
        </is>
      </c>
      <c r="D132" s="13" t="inlineStr">
        <is>
          <t>复盘流程</t>
        </is>
      </c>
      <c r="E132" s="13" t="inlineStr">
        <is>
          <t>复盘流转</t>
        </is>
      </c>
      <c r="F132" s="13" t="inlineStr">
        <is>
          <t>复盘流水记录查看</t>
        </is>
      </c>
      <c r="G132" s="12" t="inlineStr">
        <is>
          <t>EO</t>
        </is>
      </c>
      <c r="H132" s="14">
        <f>IF(G132="ILF",7,IF(G132="EO",5,IF(G132="EIF",5,IF(G132="EI",4,IF(G132="EQ",4,5)))))</f>
        <v/>
      </c>
      <c r="I132" s="12" t="inlineStr">
        <is>
          <t>高</t>
        </is>
      </c>
      <c r="J132" s="12" t="inlineStr">
        <is>
          <t>新增</t>
        </is>
      </c>
      <c r="K132" s="14">
        <f>IF(J132="新增",IF(I132="高",H132*0.33,IF(I132="中",H132*0.67,H132)),H132*0.5)</f>
        <v/>
      </c>
      <c r="L132" s="13" t="inlineStr"/>
    </row>
    <row r="133" ht="30" customHeight="1">
      <c r="A133" s="12" t="n">
        <v>124</v>
      </c>
      <c r="B133" s="13" t="inlineStr">
        <is>
          <t>监控管理应用</t>
        </is>
      </c>
      <c r="C133" s="13" t="inlineStr">
        <is>
          <t>复盘流程</t>
        </is>
      </c>
      <c r="D133" s="13" t="inlineStr">
        <is>
          <t>复盘流程</t>
        </is>
      </c>
      <c r="E133" s="13" t="inlineStr">
        <is>
          <t>消息通知</t>
        </is>
      </c>
      <c r="F133" s="13" t="inlineStr">
        <is>
          <t>复盘事件流转信息呈现</t>
        </is>
      </c>
      <c r="G133" s="12" t="inlineStr">
        <is>
          <t>EO</t>
        </is>
      </c>
      <c r="H133" s="14">
        <f>IF(G133="ILF",7,IF(G133="EO",5,IF(G133="EIF",5,IF(G133="EI",4,IF(G133="EQ",4,5)))))</f>
        <v/>
      </c>
      <c r="I133" s="12" t="inlineStr">
        <is>
          <t>高</t>
        </is>
      </c>
      <c r="J133" s="12" t="inlineStr">
        <is>
          <t>新增</t>
        </is>
      </c>
      <c r="K133" s="14">
        <f>IF(J133="新增",IF(I133="高",H133*0.33,IF(I133="中",H133*0.67,H133)),H133*0.5)</f>
        <v/>
      </c>
      <c r="L133" s="13" t="inlineStr"/>
    </row>
    <row r="134" ht="30" customHeight="1">
      <c r="A134" s="12" t="n">
        <v>125</v>
      </c>
      <c r="B134" s="13" t="inlineStr">
        <is>
          <t>监控管理应用</t>
        </is>
      </c>
      <c r="C134" s="13" t="inlineStr">
        <is>
          <t>复盘流程</t>
        </is>
      </c>
      <c r="D134" s="13" t="inlineStr">
        <is>
          <t>复盘流程</t>
        </is>
      </c>
      <c r="E134" s="13" t="inlineStr">
        <is>
          <t>消息通知</t>
        </is>
      </c>
      <c r="F134" s="13" t="inlineStr">
        <is>
          <t>消息通知流程节点配置</t>
        </is>
      </c>
      <c r="G134" s="12" t="inlineStr">
        <is>
          <t>EO</t>
        </is>
      </c>
      <c r="H134" s="14">
        <f>IF(G134="ILF",7,IF(G134="EO",5,IF(G134="EIF",5,IF(G134="EI",4,IF(G134="EQ",4,5)))))</f>
        <v/>
      </c>
      <c r="I134" s="12" t="inlineStr">
        <is>
          <t>高</t>
        </is>
      </c>
      <c r="J134" s="12" t="inlineStr">
        <is>
          <t>新增</t>
        </is>
      </c>
      <c r="K134" s="14">
        <f>IF(J134="新增",IF(I134="高",H134*0.33,IF(I134="中",H134*0.67,H134)),H134*0.5)</f>
        <v/>
      </c>
      <c r="L134" s="13" t="inlineStr"/>
    </row>
    <row r="135" ht="30" customHeight="1">
      <c r="A135" s="12" t="n">
        <v>126</v>
      </c>
      <c r="B135" s="13" t="inlineStr">
        <is>
          <t>监控管理应用</t>
        </is>
      </c>
      <c r="C135" s="13" t="inlineStr">
        <is>
          <t>复盘流程</t>
        </is>
      </c>
      <c r="D135" s="13" t="inlineStr">
        <is>
          <t>复盘流程</t>
        </is>
      </c>
      <c r="E135" s="13" t="inlineStr">
        <is>
          <t>消息通知</t>
        </is>
      </c>
      <c r="F135" s="13" t="inlineStr">
        <is>
          <t>消息通知触发机制配置</t>
        </is>
      </c>
      <c r="G135" s="12" t="inlineStr">
        <is>
          <t>EO</t>
        </is>
      </c>
      <c r="H135" s="14">
        <f>IF(G135="ILF",7,IF(G135="EO",5,IF(G135="EIF",5,IF(G135="EI",4,IF(G135="EQ",4,5)))))</f>
        <v/>
      </c>
      <c r="I135" s="12" t="inlineStr">
        <is>
          <t>高</t>
        </is>
      </c>
      <c r="J135" s="12" t="inlineStr">
        <is>
          <t>新增</t>
        </is>
      </c>
      <c r="K135" s="14">
        <f>IF(J135="新增",IF(I135="高",H135*0.33,IF(I135="中",H135*0.67,H135)),H135*0.5)</f>
        <v/>
      </c>
      <c r="L135" s="13" t="inlineStr"/>
    </row>
    <row r="136" ht="30" customHeight="1">
      <c r="A136" s="12" t="n">
        <v>127</v>
      </c>
      <c r="B136" s="13" t="inlineStr">
        <is>
          <t>监控管理应用</t>
        </is>
      </c>
      <c r="C136" s="13" t="inlineStr">
        <is>
          <t>复盘流程</t>
        </is>
      </c>
      <c r="D136" s="13" t="inlineStr">
        <is>
          <t>复盘流程</t>
        </is>
      </c>
      <c r="E136" s="13" t="inlineStr">
        <is>
          <t>消息通知</t>
        </is>
      </c>
      <c r="F136" s="13" t="inlineStr">
        <is>
          <t>消息通知内容模板配置</t>
        </is>
      </c>
      <c r="G136" s="12" t="inlineStr">
        <is>
          <t>EO</t>
        </is>
      </c>
      <c r="H136" s="14">
        <f>IF(G136="ILF",7,IF(G136="EO",5,IF(G136="EIF",5,IF(G136="EI",4,IF(G136="EQ",4,5)))))</f>
        <v/>
      </c>
      <c r="I136" s="12" t="inlineStr">
        <is>
          <t>高</t>
        </is>
      </c>
      <c r="J136" s="12" t="inlineStr">
        <is>
          <t>新增</t>
        </is>
      </c>
      <c r="K136" s="14">
        <f>IF(J136="新增",IF(I136="高",H136*0.33,IF(I136="中",H136*0.67,H136)),H136*0.5)</f>
        <v/>
      </c>
      <c r="L136" s="13" t="inlineStr"/>
    </row>
    <row r="137" ht="30" customHeight="1">
      <c r="A137" s="12" t="n">
        <v>128</v>
      </c>
      <c r="B137" s="13" t="inlineStr">
        <is>
          <t>监控管理应用</t>
        </is>
      </c>
      <c r="C137" s="13" t="inlineStr">
        <is>
          <t>复盘流程</t>
        </is>
      </c>
      <c r="D137" s="13" t="inlineStr">
        <is>
          <t>复盘流程</t>
        </is>
      </c>
      <c r="E137" s="13" t="inlineStr">
        <is>
          <t>消息通知</t>
        </is>
      </c>
      <c r="F137" s="13" t="inlineStr">
        <is>
          <t>消息通知规则配置表</t>
        </is>
      </c>
      <c r="G137" s="12" t="inlineStr">
        <is>
          <t>ILF</t>
        </is>
      </c>
      <c r="H137" s="14">
        <f>IF(G137="ILF",7,IF(G137="EO",5,IF(G137="EIF",5,IF(G137="EI",4,IF(G137="EQ",4,5)))))</f>
        <v/>
      </c>
      <c r="I137" s="12" t="inlineStr">
        <is>
          <t>高</t>
        </is>
      </c>
      <c r="J137" s="12" t="inlineStr">
        <is>
          <t>新增</t>
        </is>
      </c>
      <c r="K137" s="14">
        <f>IF(J137="新增",IF(I137="高",H137*0.33,IF(I137="中",H137*0.67,H137)),H137*0.5)</f>
        <v/>
      </c>
      <c r="L137" s="13" t="inlineStr"/>
    </row>
    <row r="138" ht="30" customHeight="1">
      <c r="A138" s="12" t="n">
        <v>129</v>
      </c>
      <c r="B138" s="13" t="inlineStr">
        <is>
          <t>监控管理应用</t>
        </is>
      </c>
      <c r="C138" s="13" t="inlineStr">
        <is>
          <t>复盘流程</t>
        </is>
      </c>
      <c r="D138" s="13" t="inlineStr">
        <is>
          <t>复盘流程</t>
        </is>
      </c>
      <c r="E138" s="13" t="inlineStr">
        <is>
          <t>消息通知</t>
        </is>
      </c>
      <c r="F138" s="13" t="inlineStr">
        <is>
          <t>消息规则编辑</t>
        </is>
      </c>
      <c r="G138" s="12" t="inlineStr">
        <is>
          <t>EO</t>
        </is>
      </c>
      <c r="H138" s="14">
        <f>IF(G138="ILF",7,IF(G138="EO",5,IF(G138="EIF",5,IF(G138="EI",4,IF(G138="EQ",4,5)))))</f>
        <v/>
      </c>
      <c r="I138" s="12" t="inlineStr">
        <is>
          <t>高</t>
        </is>
      </c>
      <c r="J138" s="12" t="inlineStr">
        <is>
          <t>新增</t>
        </is>
      </c>
      <c r="K138" s="14">
        <f>IF(J138="新增",IF(I138="高",H138*0.33,IF(I138="中",H138*0.67,H138)),H138*0.5)</f>
        <v/>
      </c>
      <c r="L138" s="13" t="inlineStr">
        <is>
          <t>AI 拆分自：消息通知规则配置表</t>
        </is>
      </c>
    </row>
    <row r="139" ht="30" customHeight="1">
      <c r="A139" s="12" t="n">
        <v>130</v>
      </c>
      <c r="B139" s="13" t="inlineStr">
        <is>
          <t>监控管理应用</t>
        </is>
      </c>
      <c r="C139" s="13" t="inlineStr">
        <is>
          <t>复盘流程</t>
        </is>
      </c>
      <c r="D139" s="13" t="inlineStr">
        <is>
          <t>复盘流程</t>
        </is>
      </c>
      <c r="E139" s="13" t="inlineStr">
        <is>
          <t>消息通知</t>
        </is>
      </c>
      <c r="F139" s="13" t="inlineStr">
        <is>
          <t>通知规则验证</t>
        </is>
      </c>
      <c r="G139" s="12" t="inlineStr">
        <is>
          <t>EO</t>
        </is>
      </c>
      <c r="H139" s="14">
        <f>IF(G139="ILF",7,IF(G139="EO",5,IF(G139="EIF",5,IF(G139="EI",4,IF(G139="EQ",4,5)))))</f>
        <v/>
      </c>
      <c r="I139" s="12" t="inlineStr">
        <is>
          <t>高</t>
        </is>
      </c>
      <c r="J139" s="12" t="inlineStr">
        <is>
          <t>新增</t>
        </is>
      </c>
      <c r="K139" s="14">
        <f>IF(J139="新增",IF(I139="高",H139*0.33,IF(I139="中",H139*0.67,H139)),H139*0.5)</f>
        <v/>
      </c>
      <c r="L139" s="13" t="inlineStr">
        <is>
          <t>AI 拆分自：消息通知规则配置表</t>
        </is>
      </c>
    </row>
    <row r="140" ht="30" customHeight="1">
      <c r="A140" s="12" t="n">
        <v>131</v>
      </c>
      <c r="B140" s="13" t="inlineStr">
        <is>
          <t>监控管理应用</t>
        </is>
      </c>
      <c r="C140" s="13" t="inlineStr">
        <is>
          <t>复盘流程</t>
        </is>
      </c>
      <c r="D140" s="13" t="inlineStr">
        <is>
          <t>复盘流程</t>
        </is>
      </c>
      <c r="E140" s="13" t="inlineStr">
        <is>
          <t>消息通知</t>
        </is>
      </c>
      <c r="F140" s="13" t="inlineStr">
        <is>
          <t>消息发送配置</t>
        </is>
      </c>
      <c r="G140" s="12" t="inlineStr">
        <is>
          <t>EO</t>
        </is>
      </c>
      <c r="H140" s="14">
        <f>IF(G140="ILF",7,IF(G140="EO",5,IF(G140="EIF",5,IF(G140="EI",4,IF(G140="EQ",4,5)))))</f>
        <v/>
      </c>
      <c r="I140" s="12" t="inlineStr">
        <is>
          <t>高</t>
        </is>
      </c>
      <c r="J140" s="12" t="inlineStr">
        <is>
          <t>新增</t>
        </is>
      </c>
      <c r="K140" s="14">
        <f>IF(J140="新增",IF(I140="高",H140*0.33,IF(I140="中",H140*0.67,H140)),H140*0.5)</f>
        <v/>
      </c>
      <c r="L140" s="13" t="inlineStr">
        <is>
          <t>AI 拆分自：消息通知规则配置表</t>
        </is>
      </c>
    </row>
    <row r="141" ht="30" customHeight="1">
      <c r="A141" s="12" t="n">
        <v>132</v>
      </c>
      <c r="B141" s="13" t="inlineStr">
        <is>
          <t>监控管理应用</t>
        </is>
      </c>
      <c r="C141" s="13" t="inlineStr">
        <is>
          <t>复盘流程</t>
        </is>
      </c>
      <c r="D141" s="13" t="inlineStr">
        <is>
          <t>复盘流程</t>
        </is>
      </c>
      <c r="E141" s="13" t="inlineStr">
        <is>
          <t>消息通知</t>
        </is>
      </c>
      <c r="F141" s="13" t="inlineStr">
        <is>
          <t>处理时限配置化处理</t>
        </is>
      </c>
      <c r="G141" s="12" t="inlineStr">
        <is>
          <t>EO</t>
        </is>
      </c>
      <c r="H141" s="14">
        <f>IF(G141="ILF",7,IF(G141="EO",5,IF(G141="EIF",5,IF(G141="EI",4,IF(G141="EQ",4,5)))))</f>
        <v/>
      </c>
      <c r="I141" s="12" t="inlineStr">
        <is>
          <t>高</t>
        </is>
      </c>
      <c r="J141" s="12" t="inlineStr">
        <is>
          <t>新增</t>
        </is>
      </c>
      <c r="K141" s="14">
        <f>IF(J141="新增",IF(I141="高",H141*0.33,IF(I141="中",H141*0.67,H141)),H141*0.5)</f>
        <v/>
      </c>
      <c r="L141" s="13" t="inlineStr"/>
    </row>
    <row r="142" ht="30" customHeight="1">
      <c r="A142" s="12" t="n">
        <v>133</v>
      </c>
      <c r="B142" s="13" t="inlineStr">
        <is>
          <t>监控管理应用</t>
        </is>
      </c>
      <c r="C142" s="13" t="inlineStr">
        <is>
          <t>复盘流程</t>
        </is>
      </c>
      <c r="D142" s="13" t="inlineStr">
        <is>
          <t>复盘流程</t>
        </is>
      </c>
      <c r="E142" s="13" t="inlineStr">
        <is>
          <t>消息通知</t>
        </is>
      </c>
      <c r="F142" s="13" t="inlineStr">
        <is>
          <t>处理时限配置表</t>
        </is>
      </c>
      <c r="G142" s="12" t="inlineStr">
        <is>
          <t>ILF</t>
        </is>
      </c>
      <c r="H142" s="14">
        <f>IF(G142="ILF",7,IF(G142="EO",5,IF(G142="EIF",5,IF(G142="EI",4,IF(G142="EQ",4,5)))))</f>
        <v/>
      </c>
      <c r="I142" s="12" t="inlineStr">
        <is>
          <t>高</t>
        </is>
      </c>
      <c r="J142" s="12" t="inlineStr">
        <is>
          <t>新增</t>
        </is>
      </c>
      <c r="K142" s="14">
        <f>IF(J142="新增",IF(I142="高",H142*0.33,IF(I142="中",H142*0.67,H142)),H142*0.5)</f>
        <v/>
      </c>
      <c r="L142" s="13" t="inlineStr"/>
    </row>
    <row r="143" ht="30" customHeight="1">
      <c r="A143" s="12" t="n">
        <v>134</v>
      </c>
      <c r="B143" s="13" t="inlineStr">
        <is>
          <t>监控管理应用</t>
        </is>
      </c>
      <c r="C143" s="13" t="inlineStr">
        <is>
          <t>复盘流程</t>
        </is>
      </c>
      <c r="D143" s="13" t="inlineStr">
        <is>
          <t>复盘流程</t>
        </is>
      </c>
      <c r="E143" s="13" t="inlineStr">
        <is>
          <t>待办列表</t>
        </is>
      </c>
      <c r="F143" s="13" t="inlineStr">
        <is>
          <t>处理时限超时判定</t>
        </is>
      </c>
      <c r="G143" s="12" t="inlineStr">
        <is>
          <t>EO</t>
        </is>
      </c>
      <c r="H143" s="14">
        <f>IF(G143="ILF",7,IF(G143="EO",5,IF(G143="EIF",5,IF(G143="EI",4,IF(G143="EQ",4,5)))))</f>
        <v/>
      </c>
      <c r="I143" s="12" t="inlineStr">
        <is>
          <t>高</t>
        </is>
      </c>
      <c r="J143" s="12" t="inlineStr">
        <is>
          <t>新增</t>
        </is>
      </c>
      <c r="K143" s="14">
        <f>IF(J143="新增",IF(I143="高",H143*0.33,IF(I143="中",H143*0.67,H143)),H143*0.5)</f>
        <v/>
      </c>
      <c r="L143" s="13" t="inlineStr"/>
    </row>
    <row r="144" ht="30" customHeight="1">
      <c r="A144" s="12" t="n">
        <v>135</v>
      </c>
      <c r="B144" s="13" t="inlineStr">
        <is>
          <t>监控管理应用</t>
        </is>
      </c>
      <c r="C144" s="13" t="inlineStr">
        <is>
          <t>复盘流程</t>
        </is>
      </c>
      <c r="D144" s="13" t="inlineStr">
        <is>
          <t>复盘流程</t>
        </is>
      </c>
      <c r="E144" s="13" t="inlineStr">
        <is>
          <t>待办列表</t>
        </is>
      </c>
      <c r="F144" s="13" t="inlineStr">
        <is>
          <t>复盘待办数据权限控制</t>
        </is>
      </c>
      <c r="G144" s="12" t="inlineStr">
        <is>
          <t>EO</t>
        </is>
      </c>
      <c r="H144" s="14">
        <f>IF(G144="ILF",7,IF(G144="EO",5,IF(G144="EIF",5,IF(G144="EI",4,IF(G144="EQ",4,5)))))</f>
        <v/>
      </c>
      <c r="I144" s="12" t="inlineStr">
        <is>
          <t>高</t>
        </is>
      </c>
      <c r="J144" s="12" t="inlineStr">
        <is>
          <t>新增</t>
        </is>
      </c>
      <c r="K144" s="14">
        <f>IF(J144="新增",IF(I144="高",H144*0.33,IF(I144="中",H144*0.67,H144)),H144*0.5)</f>
        <v/>
      </c>
      <c r="L144" s="13" t="inlineStr"/>
    </row>
    <row r="145" ht="30" customHeight="1">
      <c r="A145" s="12" t="n">
        <v>136</v>
      </c>
      <c r="B145" s="13" t="inlineStr">
        <is>
          <t>监控管理应用</t>
        </is>
      </c>
      <c r="C145" s="13" t="inlineStr">
        <is>
          <t>复盘流程</t>
        </is>
      </c>
      <c r="D145" s="13" t="inlineStr">
        <is>
          <t>复盘流程</t>
        </is>
      </c>
      <c r="E145" s="13" t="inlineStr">
        <is>
          <t>待办列表</t>
        </is>
      </c>
      <c r="F145" s="13" t="inlineStr">
        <is>
          <t>复盘待办列表预警号下钻预警详情</t>
        </is>
      </c>
      <c r="G145" s="12" t="inlineStr">
        <is>
          <t>EO</t>
        </is>
      </c>
      <c r="H145" s="14">
        <f>IF(G145="ILF",7,IF(G145="EO",5,IF(G145="EIF",5,IF(G145="EI",4,IF(G145="EQ",4,5)))))</f>
        <v/>
      </c>
      <c r="I145" s="12" t="inlineStr">
        <is>
          <t>高</t>
        </is>
      </c>
      <c r="J145" s="12" t="inlineStr">
        <is>
          <t>新增</t>
        </is>
      </c>
      <c r="K145" s="14">
        <f>IF(J145="新增",IF(I145="高",H145*0.33,IF(I145="中",H145*0.67,H145)),H145*0.5)</f>
        <v/>
      </c>
      <c r="L145" s="13" t="inlineStr"/>
    </row>
    <row r="146" ht="30" customHeight="1">
      <c r="A146" s="12" t="n">
        <v>137</v>
      </c>
      <c r="B146" s="13" t="inlineStr">
        <is>
          <t>监控管理应用</t>
        </is>
      </c>
      <c r="C146" s="13" t="inlineStr">
        <is>
          <t>复盘流程</t>
        </is>
      </c>
      <c r="D146" s="13" t="inlineStr">
        <is>
          <t>复盘流程</t>
        </is>
      </c>
      <c r="E146" s="13" t="inlineStr">
        <is>
          <t>待办列表</t>
        </is>
      </c>
      <c r="F146" s="13" t="inlineStr">
        <is>
          <t>复盘待办列表快速查询</t>
        </is>
      </c>
      <c r="G146" s="12" t="inlineStr">
        <is>
          <t>EO</t>
        </is>
      </c>
      <c r="H146" s="14">
        <f>IF(G146="ILF",7,IF(G146="EO",5,IF(G146="EIF",5,IF(G146="EI",4,IF(G146="EQ",4,5)))))</f>
        <v/>
      </c>
      <c r="I146" s="12" t="inlineStr">
        <is>
          <t>高</t>
        </is>
      </c>
      <c r="J146" s="12" t="inlineStr">
        <is>
          <t>新增</t>
        </is>
      </c>
      <c r="K146" s="14">
        <f>IF(J146="新增",IF(I146="高",H146*0.33,IF(I146="中",H146*0.67,H146)),H146*0.5)</f>
        <v/>
      </c>
      <c r="L146" s="13" t="inlineStr"/>
    </row>
    <row r="147" ht="30" customHeight="1">
      <c r="A147" s="12" t="n">
        <v>138</v>
      </c>
      <c r="B147" s="13" t="inlineStr">
        <is>
          <t>监控管理应用</t>
        </is>
      </c>
      <c r="C147" s="13" t="inlineStr">
        <is>
          <t>复盘流程</t>
        </is>
      </c>
      <c r="D147" s="13" t="inlineStr">
        <is>
          <t>复盘流程</t>
        </is>
      </c>
      <c r="E147" s="13" t="inlineStr">
        <is>
          <t>待办列表</t>
        </is>
      </c>
      <c r="F147" s="13" t="inlineStr">
        <is>
          <t>复盘待办列表数据导出</t>
        </is>
      </c>
      <c r="G147" s="12" t="inlineStr">
        <is>
          <t>EO</t>
        </is>
      </c>
      <c r="H147" s="14">
        <f>IF(G147="ILF",7,IF(G147="EO",5,IF(G147="EIF",5,IF(G147="EI",4,IF(G147="EQ",4,5)))))</f>
        <v/>
      </c>
      <c r="I147" s="12" t="inlineStr">
        <is>
          <t>高</t>
        </is>
      </c>
      <c r="J147" s="12" t="inlineStr">
        <is>
          <t>新增</t>
        </is>
      </c>
      <c r="K147" s="14">
        <f>IF(J147="新增",IF(I147="高",H147*0.33,IF(I147="中",H147*0.67,H147)),H147*0.5)</f>
        <v/>
      </c>
      <c r="L147" s="13" t="inlineStr"/>
    </row>
    <row r="148" ht="30" customHeight="1">
      <c r="A148" s="12" t="n">
        <v>139</v>
      </c>
      <c r="B148" s="13" t="inlineStr">
        <is>
          <t>监控管理应用</t>
        </is>
      </c>
      <c r="C148" s="13" t="inlineStr">
        <is>
          <t>复盘流程</t>
        </is>
      </c>
      <c r="D148" s="13" t="inlineStr">
        <is>
          <t>复盘流程</t>
        </is>
      </c>
      <c r="E148" s="13" t="inlineStr">
        <is>
          <t>待办列表</t>
        </is>
      </c>
      <c r="F148" s="13" t="inlineStr">
        <is>
          <t>批量阅办功能角色判定</t>
        </is>
      </c>
      <c r="G148" s="12" t="inlineStr">
        <is>
          <t>EO</t>
        </is>
      </c>
      <c r="H148" s="14">
        <f>IF(G148="ILF",7,IF(G148="EO",5,IF(G148="EIF",5,IF(G148="EI",4,IF(G148="EQ",4,5)))))</f>
        <v/>
      </c>
      <c r="I148" s="12" t="inlineStr">
        <is>
          <t>高</t>
        </is>
      </c>
      <c r="J148" s="12" t="inlineStr">
        <is>
          <t>新增</t>
        </is>
      </c>
      <c r="K148" s="14">
        <f>IF(J148="新增",IF(I148="高",H148*0.33,IF(I148="中",H148*0.67,H148)),H148*0.5)</f>
        <v/>
      </c>
      <c r="L148" s="13" t="inlineStr"/>
    </row>
    <row r="149" ht="30" customHeight="1">
      <c r="A149" s="12" t="n">
        <v>140</v>
      </c>
      <c r="B149" s="13" t="inlineStr">
        <is>
          <t>监控管理应用</t>
        </is>
      </c>
      <c r="C149" s="13" t="inlineStr">
        <is>
          <t>复盘流程</t>
        </is>
      </c>
      <c r="D149" s="13" t="inlineStr">
        <is>
          <t>复盘流程</t>
        </is>
      </c>
      <c r="E149" s="13" t="inlineStr">
        <is>
          <t>已办列表</t>
        </is>
      </c>
      <c r="F149" s="13" t="inlineStr">
        <is>
          <t>批量阅办功能条件判定</t>
        </is>
      </c>
      <c r="G149" s="12" t="inlineStr">
        <is>
          <t>EO</t>
        </is>
      </c>
      <c r="H149" s="14">
        <f>IF(G149="ILF",7,IF(G149="EO",5,IF(G149="EIF",5,IF(G149="EI",4,IF(G149="EQ",4,5)))))</f>
        <v/>
      </c>
      <c r="I149" s="12" t="inlineStr">
        <is>
          <t>高</t>
        </is>
      </c>
      <c r="J149" s="12" t="inlineStr">
        <is>
          <t>新增</t>
        </is>
      </c>
      <c r="K149" s="14">
        <f>IF(J149="新增",IF(I149="高",H149*0.33,IF(I149="中",H149*0.67,H149)),H149*0.5)</f>
        <v/>
      </c>
      <c r="L149" s="13" t="inlineStr"/>
    </row>
    <row r="150" ht="30" customHeight="1">
      <c r="A150" s="12" t="n">
        <v>141</v>
      </c>
      <c r="B150" s="13" t="inlineStr">
        <is>
          <t>监控管理应用</t>
        </is>
      </c>
      <c r="C150" s="13" t="inlineStr">
        <is>
          <t>复盘流程</t>
        </is>
      </c>
      <c r="D150" s="13" t="inlineStr">
        <is>
          <t>复盘流程</t>
        </is>
      </c>
      <c r="E150" s="13" t="inlineStr">
        <is>
          <t>已办列表</t>
        </is>
      </c>
      <c r="F150" s="13" t="inlineStr">
        <is>
          <t>复盘已办数据权限控制</t>
        </is>
      </c>
      <c r="G150" s="12" t="inlineStr">
        <is>
          <t>EO</t>
        </is>
      </c>
      <c r="H150" s="14">
        <f>IF(G150="ILF",7,IF(G150="EO",5,IF(G150="EIF",5,IF(G150="EI",4,IF(G150="EQ",4,5)))))</f>
        <v/>
      </c>
      <c r="I150" s="12" t="inlineStr">
        <is>
          <t>高</t>
        </is>
      </c>
      <c r="J150" s="12" t="inlineStr">
        <is>
          <t>新增</t>
        </is>
      </c>
      <c r="K150" s="14">
        <f>IF(J150="新增",IF(I150="高",H150*0.33,IF(I150="中",H150*0.67,H150)),H150*0.5)</f>
        <v/>
      </c>
      <c r="L150" s="13" t="inlineStr"/>
    </row>
    <row r="151" ht="30" customHeight="1">
      <c r="A151" s="12" t="n">
        <v>142</v>
      </c>
      <c r="B151" s="13" t="inlineStr">
        <is>
          <t>监控管理应用</t>
        </is>
      </c>
      <c r="C151" s="13" t="inlineStr">
        <is>
          <t>复盘流程</t>
        </is>
      </c>
      <c r="D151" s="13" t="inlineStr">
        <is>
          <t>复盘流程</t>
        </is>
      </c>
      <c r="E151" s="13" t="inlineStr">
        <is>
          <t>已办列表</t>
        </is>
      </c>
      <c r="F151" s="13" t="inlineStr">
        <is>
          <t>复盘已办列表数据查看</t>
        </is>
      </c>
      <c r="G151" s="12" t="inlineStr">
        <is>
          <t>EO</t>
        </is>
      </c>
      <c r="H151" s="14">
        <f>IF(G151="ILF",7,IF(G151="EO",5,IF(G151="EIF",5,IF(G151="EI",4,IF(G151="EQ",4,5)))))</f>
        <v/>
      </c>
      <c r="I151" s="12" t="inlineStr">
        <is>
          <t>高</t>
        </is>
      </c>
      <c r="J151" s="12" t="inlineStr">
        <is>
          <t>新增</t>
        </is>
      </c>
      <c r="K151" s="14">
        <f>IF(J151="新增",IF(I151="高",H151*0.33,IF(I151="中",H151*0.67,H151)),H151*0.5)</f>
        <v/>
      </c>
      <c r="L151" s="13" t="inlineStr"/>
    </row>
    <row r="152" ht="30" customHeight="1">
      <c r="A152" s="12" t="n">
        <v>143</v>
      </c>
      <c r="B152" s="13" t="inlineStr">
        <is>
          <t>监控管理应用</t>
        </is>
      </c>
      <c r="C152" s="13" t="inlineStr">
        <is>
          <t>复盘流程</t>
        </is>
      </c>
      <c r="D152" s="13" t="inlineStr">
        <is>
          <t>复盘流程</t>
        </is>
      </c>
      <c r="E152" s="13" t="inlineStr">
        <is>
          <t>已办列表</t>
        </is>
      </c>
      <c r="F152" s="13" t="inlineStr">
        <is>
          <t>复盘已办列表呈现</t>
        </is>
      </c>
      <c r="G152" s="12" t="inlineStr">
        <is>
          <t>EO</t>
        </is>
      </c>
      <c r="H152" s="14">
        <f>IF(G152="ILF",7,IF(G152="EO",5,IF(G152="EIF",5,IF(G152="EI",4,IF(G152="EQ",4,5)))))</f>
        <v/>
      </c>
      <c r="I152" s="12" t="inlineStr">
        <is>
          <t>高</t>
        </is>
      </c>
      <c r="J152" s="12" t="inlineStr">
        <is>
          <t>新增</t>
        </is>
      </c>
      <c r="K152" s="14">
        <f>IF(J152="新增",IF(I152="高",H152*0.33,IF(I152="中",H152*0.67,H152)),H152*0.5)</f>
        <v/>
      </c>
      <c r="L152" s="13" t="inlineStr"/>
    </row>
    <row r="153" ht="30" customHeight="1">
      <c r="A153" s="12" t="n">
        <v>144</v>
      </c>
      <c r="B153" s="13" t="inlineStr">
        <is>
          <t>监控管理应用</t>
        </is>
      </c>
      <c r="C153" s="13" t="inlineStr">
        <is>
          <t>复盘流程</t>
        </is>
      </c>
      <c r="D153" s="13" t="inlineStr">
        <is>
          <t>复盘流程</t>
        </is>
      </c>
      <c r="E153" s="13" t="inlineStr">
        <is>
          <t>已办列表</t>
        </is>
      </c>
      <c r="F153" s="13" t="inlineStr">
        <is>
          <t>复盘已办列表条件查询</t>
        </is>
      </c>
      <c r="G153" s="12" t="inlineStr">
        <is>
          <t>EO</t>
        </is>
      </c>
      <c r="H153" s="14">
        <f>IF(G153="ILF",7,IF(G153="EO",5,IF(G153="EIF",5,IF(G153="EI",4,IF(G153="EQ",4,5)))))</f>
        <v/>
      </c>
      <c r="I153" s="12" t="inlineStr">
        <is>
          <t>高</t>
        </is>
      </c>
      <c r="J153" s="12" t="inlineStr">
        <is>
          <t>新增</t>
        </is>
      </c>
      <c r="K153" s="14">
        <f>IF(J153="新增",IF(I153="高",H153*0.33,IF(I153="中",H153*0.67,H153)),H153*0.5)</f>
        <v/>
      </c>
      <c r="L153" s="13" t="inlineStr"/>
    </row>
    <row r="154" ht="30" customHeight="1">
      <c r="A154" s="12" t="n">
        <v>145</v>
      </c>
      <c r="B154" s="13" t="inlineStr">
        <is>
          <t>监控管理应用</t>
        </is>
      </c>
      <c r="C154" s="13" t="inlineStr">
        <is>
          <t>复盘流程</t>
        </is>
      </c>
      <c r="D154" s="13" t="inlineStr">
        <is>
          <t>复盘流程</t>
        </is>
      </c>
      <c r="E154" s="13" t="inlineStr">
        <is>
          <t>已办列表</t>
        </is>
      </c>
      <c r="F154" s="13" t="inlineStr">
        <is>
          <t>复盘已办列表预警号下钻复盘详情查询</t>
        </is>
      </c>
      <c r="G154" s="12" t="inlineStr">
        <is>
          <t>EO</t>
        </is>
      </c>
      <c r="H154" s="14">
        <f>IF(G154="ILF",7,IF(G154="EO",5,IF(G154="EIF",5,IF(G154="EI",4,IF(G154="EQ",4,5)))))</f>
        <v/>
      </c>
      <c r="I154" s="12" t="inlineStr">
        <is>
          <t>高</t>
        </is>
      </c>
      <c r="J154" s="12" t="inlineStr">
        <is>
          <t>新增</t>
        </is>
      </c>
      <c r="K154" s="14">
        <f>IF(J154="新增",IF(I154="高",H154*0.33,IF(I154="中",H154*0.67,H154)),H154*0.5)</f>
        <v/>
      </c>
      <c r="L154" s="13" t="inlineStr"/>
    </row>
    <row r="155" ht="30" customHeight="1">
      <c r="A155" s="12" t="n">
        <v>146</v>
      </c>
      <c r="B155" s="13" t="inlineStr">
        <is>
          <t>监控管理应用</t>
        </is>
      </c>
      <c r="C155" s="13" t="inlineStr">
        <is>
          <t>复盘流程</t>
        </is>
      </c>
      <c r="D155" s="13" t="inlineStr">
        <is>
          <t>复盘流程</t>
        </is>
      </c>
      <c r="E155" s="13" t="inlineStr">
        <is>
          <t>全量列表</t>
        </is>
      </c>
      <c r="F155" s="13" t="inlineStr">
        <is>
          <t>复盘已办列表数据导出</t>
        </is>
      </c>
      <c r="G155" s="12" t="inlineStr">
        <is>
          <t>EO</t>
        </is>
      </c>
      <c r="H155" s="14">
        <f>IF(G155="ILF",7,IF(G155="EO",5,IF(G155="EIF",5,IF(G155="EI",4,IF(G155="EQ",4,5)))))</f>
        <v/>
      </c>
      <c r="I155" s="12" t="inlineStr">
        <is>
          <t>高</t>
        </is>
      </c>
      <c r="J155" s="12" t="inlineStr">
        <is>
          <t>新增</t>
        </is>
      </c>
      <c r="K155" s="14">
        <f>IF(J155="新增",IF(I155="高",H155*0.33,IF(I155="中",H155*0.67,H155)),H155*0.5)</f>
        <v/>
      </c>
      <c r="L155" s="13" t="inlineStr"/>
    </row>
    <row r="156" ht="30" customHeight="1">
      <c r="A156" s="12" t="n">
        <v>147</v>
      </c>
      <c r="B156" s="13" t="inlineStr">
        <is>
          <t>监控管理应用</t>
        </is>
      </c>
      <c r="C156" s="13" t="inlineStr">
        <is>
          <t>复盘流程</t>
        </is>
      </c>
      <c r="D156" s="13" t="inlineStr">
        <is>
          <t>复盘流程</t>
        </is>
      </c>
      <c r="E156" s="13" t="inlineStr">
        <is>
          <t>全量列表</t>
        </is>
      </c>
      <c r="F156" s="13" t="inlineStr">
        <is>
          <t>复盘全量列表数据权限控制</t>
        </is>
      </c>
      <c r="G156" s="12" t="inlineStr">
        <is>
          <t>EO</t>
        </is>
      </c>
      <c r="H156" s="14">
        <f>IF(G156="ILF",7,IF(G156="EO",5,IF(G156="EIF",5,IF(G156="EI",4,IF(G156="EQ",4,5)))))</f>
        <v/>
      </c>
      <c r="I156" s="12" t="inlineStr">
        <is>
          <t>高</t>
        </is>
      </c>
      <c r="J156" s="12" t="inlineStr">
        <is>
          <t>新增</t>
        </is>
      </c>
      <c r="K156" s="14">
        <f>IF(J156="新增",IF(I156="高",H156*0.33,IF(I156="中",H156*0.67,H156)),H156*0.5)</f>
        <v/>
      </c>
      <c r="L156" s="13" t="inlineStr"/>
    </row>
    <row r="157" ht="30" customHeight="1">
      <c r="A157" s="12" t="n">
        <v>148</v>
      </c>
      <c r="B157" s="13" t="inlineStr">
        <is>
          <t>监控管理应用</t>
        </is>
      </c>
      <c r="C157" s="13" t="inlineStr">
        <is>
          <t>复盘流程</t>
        </is>
      </c>
      <c r="D157" s="13" t="inlineStr">
        <is>
          <t>复盘流程</t>
        </is>
      </c>
      <c r="E157" s="13" t="inlineStr">
        <is>
          <t>全量列表</t>
        </is>
      </c>
      <c r="F157" s="13" t="inlineStr">
        <is>
          <t>复盘全量列表数据查看</t>
        </is>
      </c>
      <c r="G157" s="12" t="inlineStr">
        <is>
          <t>EO</t>
        </is>
      </c>
      <c r="H157" s="14">
        <f>IF(G157="ILF",7,IF(G157="EO",5,IF(G157="EIF",5,IF(G157="EI",4,IF(G157="EQ",4,5)))))</f>
        <v/>
      </c>
      <c r="I157" s="12" t="inlineStr">
        <is>
          <t>高</t>
        </is>
      </c>
      <c r="J157" s="12" t="inlineStr">
        <is>
          <t>新增</t>
        </is>
      </c>
      <c r="K157" s="14">
        <f>IF(J157="新增",IF(I157="高",H157*0.33,IF(I157="中",H157*0.67,H157)),H157*0.5)</f>
        <v/>
      </c>
      <c r="L157" s="13" t="inlineStr"/>
    </row>
    <row r="158" ht="30" customHeight="1">
      <c r="A158" s="12" t="n">
        <v>149</v>
      </c>
      <c r="B158" s="13" t="inlineStr">
        <is>
          <t>监控管理应用</t>
        </is>
      </c>
      <c r="C158" s="13" t="inlineStr">
        <is>
          <t>复盘流程</t>
        </is>
      </c>
      <c r="D158" s="13" t="inlineStr">
        <is>
          <t>复盘流程</t>
        </is>
      </c>
      <c r="E158" s="13" t="inlineStr">
        <is>
          <t>全量列表</t>
        </is>
      </c>
      <c r="F158" s="13" t="inlineStr">
        <is>
          <t>复盘全量列表呈现</t>
        </is>
      </c>
      <c r="G158" s="12" t="inlineStr">
        <is>
          <t>EO</t>
        </is>
      </c>
      <c r="H158" s="14">
        <f>IF(G158="ILF",7,IF(G158="EO",5,IF(G158="EIF",5,IF(G158="EI",4,IF(G158="EQ",4,5)))))</f>
        <v/>
      </c>
      <c r="I158" s="12" t="inlineStr">
        <is>
          <t>高</t>
        </is>
      </c>
      <c r="J158" s="12" t="inlineStr">
        <is>
          <t>新增</t>
        </is>
      </c>
      <c r="K158" s="14">
        <f>IF(J158="新增",IF(I158="高",H158*0.33,IF(I158="中",H158*0.67,H158)),H158*0.5)</f>
        <v/>
      </c>
      <c r="L158" s="13" t="inlineStr"/>
    </row>
    <row r="159" ht="30" customHeight="1">
      <c r="A159" s="12" t="n">
        <v>150</v>
      </c>
      <c r="B159" s="13" t="inlineStr">
        <is>
          <t>监控管理应用</t>
        </is>
      </c>
      <c r="C159" s="13" t="inlineStr">
        <is>
          <t>复盘流程</t>
        </is>
      </c>
      <c r="D159" s="13" t="inlineStr">
        <is>
          <t>复盘流程</t>
        </is>
      </c>
      <c r="E159" s="13" t="inlineStr">
        <is>
          <t>全量列表</t>
        </is>
      </c>
      <c r="F159" s="13" t="inlineStr">
        <is>
          <t>复盘全量列表条件查询</t>
        </is>
      </c>
      <c r="G159" s="12" t="inlineStr">
        <is>
          <t>EO</t>
        </is>
      </c>
      <c r="H159" s="14">
        <f>IF(G159="ILF",7,IF(G159="EO",5,IF(G159="EIF",5,IF(G159="EI",4,IF(G159="EQ",4,5)))))</f>
        <v/>
      </c>
      <c r="I159" s="12" t="inlineStr">
        <is>
          <t>高</t>
        </is>
      </c>
      <c r="J159" s="12" t="inlineStr">
        <is>
          <t>新增</t>
        </is>
      </c>
      <c r="K159" s="14">
        <f>IF(J159="新增",IF(I159="高",H159*0.33,IF(I159="中",H159*0.67,H159)),H159*0.5)</f>
        <v/>
      </c>
      <c r="L159" s="13" t="inlineStr"/>
    </row>
    <row r="160" ht="30" customHeight="1">
      <c r="A160" s="12" t="n">
        <v>151</v>
      </c>
      <c r="B160" s="13" t="inlineStr">
        <is>
          <t>监控管理应用</t>
        </is>
      </c>
      <c r="C160" s="13" t="inlineStr">
        <is>
          <t>复盘流程</t>
        </is>
      </c>
      <c r="D160" s="13" t="inlineStr">
        <is>
          <t>复盘流程</t>
        </is>
      </c>
      <c r="E160" s="13" t="inlineStr">
        <is>
          <t>全量列表</t>
        </is>
      </c>
      <c r="F160" s="13" t="inlineStr">
        <is>
          <t>复盘全量列表预警号下钻复盘详情查询</t>
        </is>
      </c>
      <c r="G160" s="12" t="inlineStr">
        <is>
          <t>EO</t>
        </is>
      </c>
      <c r="H160" s="14">
        <f>IF(G160="ILF",7,IF(G160="EO",5,IF(G160="EIF",5,IF(G160="EI",4,IF(G160="EQ",4,5)))))</f>
        <v/>
      </c>
      <c r="I160" s="12" t="inlineStr">
        <is>
          <t>高</t>
        </is>
      </c>
      <c r="J160" s="12" t="inlineStr">
        <is>
          <t>新增</t>
        </is>
      </c>
      <c r="K160" s="14">
        <f>IF(J160="新增",IF(I160="高",H160*0.33,IF(I160="中",H160*0.67,H160)),H160*0.5)</f>
        <v/>
      </c>
      <c r="L160" s="13" t="inlineStr"/>
    </row>
    <row r="161" ht="30" customHeight="1">
      <c r="A161" s="12" t="n">
        <v>152</v>
      </c>
      <c r="B161" s="13" t="inlineStr">
        <is>
          <t>监控管理应用</t>
        </is>
      </c>
      <c r="C161" s="13" t="inlineStr">
        <is>
          <t>复盘流程</t>
        </is>
      </c>
      <c r="D161" s="13" t="inlineStr">
        <is>
          <t>复盘流程</t>
        </is>
      </c>
      <c r="E161" s="13" t="inlineStr">
        <is>
          <t>复盘报告</t>
        </is>
      </c>
      <c r="F161" s="13" t="inlineStr">
        <is>
          <t>复盘全量列表数据导出</t>
        </is>
      </c>
      <c r="G161" s="12" t="inlineStr">
        <is>
          <t>EO</t>
        </is>
      </c>
      <c r="H161" s="14">
        <f>IF(G161="ILF",7,IF(G161="EO",5,IF(G161="EIF",5,IF(G161="EI",4,IF(G161="EQ",4,5)))))</f>
        <v/>
      </c>
      <c r="I161" s="12" t="inlineStr">
        <is>
          <t>高</t>
        </is>
      </c>
      <c r="J161" s="12" t="inlineStr">
        <is>
          <t>新增</t>
        </is>
      </c>
      <c r="K161" s="14">
        <f>IF(J161="新增",IF(I161="高",H161*0.33,IF(I161="中",H161*0.67,H161)),H161*0.5)</f>
        <v/>
      </c>
      <c r="L161" s="13" t="inlineStr"/>
    </row>
    <row r="162" ht="30" customHeight="1">
      <c r="A162" s="12" t="n">
        <v>153</v>
      </c>
      <c r="B162" s="13" t="inlineStr">
        <is>
          <t>监控管理应用</t>
        </is>
      </c>
      <c r="C162" s="13" t="inlineStr">
        <is>
          <t>复盘流程</t>
        </is>
      </c>
      <c r="D162" s="13" t="inlineStr">
        <is>
          <t>复盘流程</t>
        </is>
      </c>
      <c r="E162" s="13" t="inlineStr">
        <is>
          <t>复盘报告</t>
        </is>
      </c>
      <c r="F162" s="13" t="inlineStr">
        <is>
          <t>复盘数据查询</t>
        </is>
      </c>
      <c r="G162" s="12" t="inlineStr">
        <is>
          <t>EO</t>
        </is>
      </c>
      <c r="H162" s="14">
        <f>IF(G162="ILF",7,IF(G162="EO",5,IF(G162="EIF",5,IF(G162="EI",4,IF(G162="EQ",4,5)))))</f>
        <v/>
      </c>
      <c r="I162" s="12" t="inlineStr">
        <is>
          <t>高</t>
        </is>
      </c>
      <c r="J162" s="12" t="inlineStr">
        <is>
          <t>新增</t>
        </is>
      </c>
      <c r="K162" s="14">
        <f>IF(J162="新增",IF(I162="高",H162*0.33,IF(I162="中",H162*0.67,H162)),H162*0.5)</f>
        <v/>
      </c>
      <c r="L162" s="13" t="inlineStr"/>
    </row>
    <row r="163" ht="30" customHeight="1">
      <c r="A163" s="12" t="n">
        <v>154</v>
      </c>
      <c r="B163" s="13" t="inlineStr">
        <is>
          <t>监控管理应用</t>
        </is>
      </c>
      <c r="C163" s="13" t="inlineStr">
        <is>
          <t>复盘流程</t>
        </is>
      </c>
      <c r="D163" s="13" t="inlineStr">
        <is>
          <t>复盘流程</t>
        </is>
      </c>
      <c r="E163" s="13" t="inlineStr">
        <is>
          <t>复盘报告</t>
        </is>
      </c>
      <c r="F163" s="13" t="inlineStr">
        <is>
          <t>复盘报告标题按规则拼接</t>
        </is>
      </c>
      <c r="G163" s="12" t="inlineStr">
        <is>
          <t>EO</t>
        </is>
      </c>
      <c r="H163" s="14">
        <f>IF(G163="ILF",7,IF(G163="EO",5,IF(G163="EIF",5,IF(G163="EI",4,IF(G163="EQ",4,5)))))</f>
        <v/>
      </c>
      <c r="I163" s="12" t="inlineStr">
        <is>
          <t>高</t>
        </is>
      </c>
      <c r="J163" s="12" t="inlineStr">
        <is>
          <t>新增</t>
        </is>
      </c>
      <c r="K163" s="14">
        <f>IF(J163="新增",IF(I163="高",H163*0.33,IF(I163="中",H163*0.67,H163)),H163*0.5)</f>
        <v/>
      </c>
      <c r="L163" s="13" t="inlineStr"/>
    </row>
    <row r="164" ht="30" customHeight="1">
      <c r="A164" s="12" t="n">
        <v>155</v>
      </c>
      <c r="B164" s="13" t="inlineStr">
        <is>
          <t>监控管理应用</t>
        </is>
      </c>
      <c r="C164" s="13" t="inlineStr">
        <is>
          <t>复盘流程</t>
        </is>
      </c>
      <c r="D164" s="13" t="inlineStr">
        <is>
          <t>复盘流程</t>
        </is>
      </c>
      <c r="E164" s="13" t="inlineStr">
        <is>
          <t>复盘报告</t>
        </is>
      </c>
      <c r="F164" s="13" t="inlineStr">
        <is>
          <t>复盘报告各部分内容按规则整合</t>
        </is>
      </c>
      <c r="G164" s="12" t="inlineStr">
        <is>
          <t>EO</t>
        </is>
      </c>
      <c r="H164" s="14">
        <f>IF(G164="ILF",7,IF(G164="EO",5,IF(G164="EIF",5,IF(G164="EI",4,IF(G164="EQ",4,5)))))</f>
        <v/>
      </c>
      <c r="I164" s="12" t="inlineStr">
        <is>
          <t>高</t>
        </is>
      </c>
      <c r="J164" s="12" t="inlineStr">
        <is>
          <t>新增</t>
        </is>
      </c>
      <c r="K164" s="14">
        <f>IF(J164="新增",IF(I164="高",H164*0.33,IF(I164="中",H164*0.67,H164)),H164*0.5)</f>
        <v/>
      </c>
      <c r="L164" s="13" t="inlineStr"/>
    </row>
    <row r="165" ht="30" customHeight="1">
      <c r="A165" s="12" t="n">
        <v>156</v>
      </c>
      <c r="B165" s="13" t="inlineStr">
        <is>
          <t>监控管理应用</t>
        </is>
      </c>
      <c r="C165" s="13" t="inlineStr">
        <is>
          <t>复盘流程</t>
        </is>
      </c>
      <c r="D165" s="13" t="inlineStr">
        <is>
          <t>复盘流程</t>
        </is>
      </c>
      <c r="E165" s="13" t="inlineStr">
        <is>
          <t>复盘报告</t>
        </is>
      </c>
      <c r="F165" s="13" t="inlineStr">
        <is>
          <t>复盘报告内容格式设置</t>
        </is>
      </c>
      <c r="G165" s="12" t="inlineStr">
        <is>
          <t>EI</t>
        </is>
      </c>
      <c r="H165" s="14">
        <f>IF(G165="ILF",7,IF(G165="EO",5,IF(G165="EIF",5,IF(G165="EI",4,IF(G165="EQ",4,5)))))</f>
        <v/>
      </c>
      <c r="I165" s="12" t="inlineStr">
        <is>
          <t>高</t>
        </is>
      </c>
      <c r="J165" s="12" t="inlineStr">
        <is>
          <t>新增</t>
        </is>
      </c>
      <c r="K165" s="14">
        <f>IF(J165="新增",IF(I165="高",H165*0.33,IF(I165="中",H165*0.67,H165)),H165*0.5)</f>
        <v/>
      </c>
      <c r="L165" s="13" t="inlineStr"/>
    </row>
    <row r="166" ht="30" customHeight="1">
      <c r="A166" s="12" t="n">
        <v>157</v>
      </c>
      <c r="B166" s="13" t="inlineStr">
        <is>
          <t>监控管理应用</t>
        </is>
      </c>
      <c r="C166" s="13" t="inlineStr">
        <is>
          <t>隐患管理应用</t>
        </is>
      </c>
      <c r="D166" s="13" t="inlineStr">
        <is>
          <t>隐患闭环质检</t>
        </is>
      </c>
      <c r="E166" s="13" t="inlineStr">
        <is>
          <t>隐患质检</t>
        </is>
      </c>
      <c r="F166" s="13" t="inlineStr">
        <is>
          <t>复盘报告下载</t>
        </is>
      </c>
      <c r="G166" s="12" t="inlineStr">
        <is>
          <t>EO</t>
        </is>
      </c>
      <c r="H166" s="14">
        <f>IF(G166="ILF",7,IF(G166="EO",5,IF(G166="EIF",5,IF(G166="EI",4,IF(G166="EQ",4,5)))))</f>
        <v/>
      </c>
      <c r="I166" s="12" t="inlineStr">
        <is>
          <t>高</t>
        </is>
      </c>
      <c r="J166" s="12" t="inlineStr">
        <is>
          <t>新增</t>
        </is>
      </c>
      <c r="K166" s="14">
        <f>IF(J166="新增",IF(I166="高",H166*0.33,IF(I166="中",H166*0.67,H166)),H166*0.5)</f>
        <v/>
      </c>
      <c r="L166" s="13" t="inlineStr"/>
    </row>
    <row r="167" ht="30" customHeight="1">
      <c r="A167" s="12" t="n">
        <v>158</v>
      </c>
      <c r="B167" s="13" t="inlineStr">
        <is>
          <t>监控管理应用</t>
        </is>
      </c>
      <c r="C167" s="13" t="inlineStr">
        <is>
          <t>隐患管理应用</t>
        </is>
      </c>
      <c r="D167" s="13" t="inlineStr">
        <is>
          <t>隐患闭环质检</t>
        </is>
      </c>
      <c r="E167" s="13" t="inlineStr">
        <is>
          <t>隐患质检</t>
        </is>
      </c>
      <c r="F167" s="13" t="inlineStr">
        <is>
          <t>隐患质检功能只针对关键和重要隐患</t>
        </is>
      </c>
      <c r="G167" s="12" t="inlineStr">
        <is>
          <t>EO</t>
        </is>
      </c>
      <c r="H167" s="14">
        <f>IF(G167="ILF",7,IF(G167="EO",5,IF(G167="EIF",5,IF(G167="EI",4,IF(G167="EQ",4,5)))))</f>
        <v/>
      </c>
      <c r="I167" s="12" t="inlineStr">
        <is>
          <t>高</t>
        </is>
      </c>
      <c r="J167" s="12" t="inlineStr">
        <is>
          <t>新增</t>
        </is>
      </c>
      <c r="K167" s="14">
        <f>IF(J167="新增",IF(I167="高",H167*0.33,IF(I167="中",H167*0.67,H167)),H167*0.5)</f>
        <v/>
      </c>
      <c r="L167" s="13" t="inlineStr"/>
    </row>
    <row r="168" ht="30" customHeight="1">
      <c r="A168" s="12" t="n">
        <v>159</v>
      </c>
      <c r="B168" s="13" t="inlineStr">
        <is>
          <t>监控管理应用</t>
        </is>
      </c>
      <c r="C168" s="13" t="inlineStr">
        <is>
          <t>隐患管理应用</t>
        </is>
      </c>
      <c r="D168" s="13" t="inlineStr">
        <is>
          <t>隐患闭环质检</t>
        </is>
      </c>
      <c r="E168" s="13" t="inlineStr">
        <is>
          <t>隐患质检</t>
        </is>
      </c>
      <c r="F168" s="13" t="inlineStr">
        <is>
          <t>隐患质检表</t>
        </is>
      </c>
      <c r="G168" s="12" t="inlineStr">
        <is>
          <t>ILF</t>
        </is>
      </c>
      <c r="H168" s="14">
        <f>IF(G168="ILF",7,IF(G168="EO",5,IF(G168="EIF",5,IF(G168="EI",4,IF(G168="EQ",4,5)))))</f>
        <v/>
      </c>
      <c r="I168" s="12" t="inlineStr">
        <is>
          <t>高</t>
        </is>
      </c>
      <c r="J168" s="12" t="inlineStr">
        <is>
          <t>新增</t>
        </is>
      </c>
      <c r="K168" s="14">
        <f>IF(J168="新增",IF(I168="高",H168*0.33,IF(I168="中",H168*0.67,H168)),H168*0.5)</f>
        <v/>
      </c>
      <c r="L168" s="13" t="inlineStr"/>
    </row>
    <row r="169" ht="30" customHeight="1">
      <c r="A169" s="12" t="n">
        <v>160</v>
      </c>
      <c r="B169" s="13" t="inlineStr">
        <is>
          <t>监控管理应用</t>
        </is>
      </c>
      <c r="C169" s="13" t="inlineStr">
        <is>
          <t>隐患管理应用</t>
        </is>
      </c>
      <c r="D169" s="13" t="inlineStr">
        <is>
          <t>隐患闭环质检</t>
        </is>
      </c>
      <c r="E169" s="13" t="inlineStr">
        <is>
          <t>隐患质检</t>
        </is>
      </c>
      <c r="F169" s="13" t="inlineStr">
        <is>
          <t>隐患编辑界面处理时限算法变更</t>
        </is>
      </c>
      <c r="G169" s="12" t="inlineStr">
        <is>
          <t>EO</t>
        </is>
      </c>
      <c r="H169" s="14">
        <f>IF(G169="ILF",7,IF(G169="EO",5,IF(G169="EIF",5,IF(G169="EI",4,IF(G169="EQ",4,5)))))</f>
        <v/>
      </c>
      <c r="I169" s="12" t="inlineStr">
        <is>
          <t>高</t>
        </is>
      </c>
      <c r="J169" s="12" t="inlineStr">
        <is>
          <t>新增</t>
        </is>
      </c>
      <c r="K169" s="14">
        <f>IF(J169="新增",IF(I169="高",H169*0.33,IF(I169="中",H169*0.67,H169)),H169*0.5)</f>
        <v/>
      </c>
      <c r="L169" s="13" t="inlineStr"/>
    </row>
    <row r="170" ht="30" customHeight="1">
      <c r="A170" s="12" t="n">
        <v>161</v>
      </c>
      <c r="B170" s="13" t="inlineStr">
        <is>
          <t>数据共享说明</t>
        </is>
      </c>
      <c r="C170" s="13" t="inlineStr">
        <is>
          <t>隐患管理应用</t>
        </is>
      </c>
      <c r="D170" s="13" t="inlineStr">
        <is>
          <t>隐患闭环质检</t>
        </is>
      </c>
      <c r="E170" s="13" t="inlineStr">
        <is>
          <t>隐患质检</t>
        </is>
      </c>
      <c r="F170" s="13" t="inlineStr">
        <is>
          <t>隐患数据更新三个机制对接</t>
        </is>
      </c>
      <c r="G170" s="12" t="inlineStr">
        <is>
          <t>EO</t>
        </is>
      </c>
      <c r="H170" s="14">
        <f>IF(G170="ILF",7,IF(G170="EO",5,IF(G170="EIF",5,IF(G170="EI",4,IF(G170="EQ",4,5)))))</f>
        <v/>
      </c>
      <c r="I170" s="12" t="inlineStr">
        <is>
          <t>高</t>
        </is>
      </c>
      <c r="J170" s="12" t="inlineStr">
        <is>
          <t>新增</t>
        </is>
      </c>
      <c r="K170" s="14">
        <f>IF(J170="新增",IF(I170="高",H170*0.33,IF(I170="中",H170*0.67,H170)),H170*0.5)</f>
        <v/>
      </c>
      <c r="L170" s="13" t="inlineStr"/>
    </row>
    <row r="171">
      <c r="A171" s="15" t="inlineStr">
        <is>
          <t>合计</t>
        </is>
      </c>
      <c r="B171" s="16" t="n"/>
      <c r="C171" s="16" t="n"/>
      <c r="D171" s="16" t="n"/>
      <c r="E171" s="16" t="n"/>
      <c r="F171" s="16" t="n"/>
      <c r="G171" s="16" t="n"/>
      <c r="H171" s="17" t="n">
        <v>823</v>
      </c>
      <c r="I171" s="16" t="n"/>
      <c r="J171" s="16" t="n"/>
      <c r="K171" s="17" t="n">
        <v>271.59</v>
      </c>
      <c r="L171" s="16" t="n"/>
    </row>
  </sheetData>
  <mergeCells count="8">
    <mergeCell ref="C5:L5"/>
    <mergeCell ref="A7:L7"/>
    <mergeCell ref="C4:L4"/>
    <mergeCell ref="A1:L1"/>
    <mergeCell ref="C3:L3"/>
    <mergeCell ref="A171:G171"/>
    <mergeCell ref="A6:L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40" customHeight="1">
      <c r="A1" s="18" t="inlineStr">
        <is>
          <t>3. 调整因子列表</t>
        </is>
      </c>
    </row>
    <row r="2" ht="30" customHeight="1">
      <c r="A2" s="10" t="inlineStr">
        <is>
          <t>因子类型</t>
        </is>
      </c>
      <c r="B2" s="10" t="inlineStr">
        <is>
          <t>因子名称</t>
        </is>
      </c>
      <c r="C2" s="10" t="inlineStr">
        <is>
          <t>因子计算结果</t>
        </is>
      </c>
    </row>
    <row r="3">
      <c r="A3" s="1" t="inlineStr">
        <is>
          <t>规模计数时机</t>
        </is>
      </c>
      <c r="B3" s="1" t="inlineStr">
        <is>
          <t>估算中期</t>
        </is>
      </c>
      <c r="C3" s="1">
        <f>IF('3. 调整因子'!B3='3. 调整因子'!B37,'3. 调整因子'!D37,IF('3. 调整因子'!B3='3. 调整因子'!B38,'3. 调整因子'!D38,IF('3. 调整因子'!B3='3. 调整因子'!B39,'3. 调整因子'!D39,IF('3. 调整因子'!B3='3. 调整因子'!B40,'3. 调整因子'!D40,1.21))))</f>
        <v/>
      </c>
      <c r="D3" s="16" t="n"/>
    </row>
    <row r="4">
      <c r="A4" s="1" t="inlineStr">
        <is>
          <t>应用类型</t>
        </is>
      </c>
      <c r="B4" s="1" t="inlineStr">
        <is>
          <t>业务处理</t>
        </is>
      </c>
      <c r="C4" s="1">
        <f>IF(B4=B13,C13,IF(B4=B14,C14,IF(B4=B15,C15,IF(B4=B16,C16,IF(B4=B17,C17,IF(B4=B18,C18,IF(B4=B19,C19,IF(B4=B20,C20,IF(B4=B21,C21,1)))))))))</f>
        <v/>
      </c>
      <c r="D4" s="16" t="n"/>
    </row>
    <row r="5">
      <c r="A5" s="1" t="inlineStr">
        <is>
          <t>质量特性 - 分布式处理</t>
        </is>
      </c>
      <c r="B5" s="1" t="inlineStr">
        <is>
          <t>没有明示对分布式处理的需求事项</t>
        </is>
      </c>
      <c r="C5" s="1">
        <f>IF(B5=C23,D23,IF(B5=C24,D24,IF(B5=C25,D25,-10)))</f>
        <v/>
      </c>
      <c r="D5" s="16" t="n"/>
    </row>
    <row r="6">
      <c r="A6" s="1" t="inlineStr">
        <is>
          <t>质量特性 - 性能</t>
        </is>
      </c>
      <c r="B6" s="1" t="inlineStr">
        <is>
          <t>没有明示对性能的特别需求事项或活动，因此提供基本性能</t>
        </is>
      </c>
      <c r="C6" s="1">
        <f>IF(B6=C26,D26,IF(B6=C27,D27,IF(B6=C28,D28,-10)))</f>
        <v/>
      </c>
      <c r="D6" s="16" t="n"/>
    </row>
    <row r="7">
      <c r="A7" s="1" t="inlineStr">
        <is>
          <t>质量特性 - 可靠性</t>
        </is>
      </c>
      <c r="B7" s="1" t="inlineStr">
        <is>
          <t>没有明示对可靠性的特别需求事项或活动，因此提供基本的可靠性</t>
        </is>
      </c>
      <c r="C7" s="1">
        <f>IF(B7=C29,D29,IF(B7=C30,D30,IF(B7=C31,D31,-10)))</f>
        <v/>
      </c>
      <c r="D7" s="16" t="n"/>
    </row>
    <row r="8">
      <c r="A8" s="1" t="inlineStr">
        <is>
          <t>质量特性 - 多重站点</t>
        </is>
      </c>
      <c r="B8" s="1" t="inlineStr">
        <is>
          <t>在相同用途的硬件或软件环境下运行</t>
        </is>
      </c>
      <c r="C8" s="1">
        <f>IF(B8=C32,D32,IF(B8=C33,D33,IF(B8=C34,D34,-10)))</f>
        <v/>
      </c>
      <c r="D8" s="16" t="n"/>
    </row>
    <row r="9">
      <c r="A9" s="1" t="inlineStr">
        <is>
          <t>开发语言</t>
        </is>
      </c>
      <c r="B9" s="1" t="inlineStr">
        <is>
          <t>JAVA、C++、C#及其他同级别语言/平台</t>
        </is>
      </c>
      <c r="C9" s="1">
        <f>IF(B9=B44,C44,IF(B9=B45,C45,IF(B9=B46,C46,1)))</f>
        <v/>
      </c>
      <c r="D9" s="16" t="n"/>
    </row>
    <row r="10">
      <c r="A10" s="1" t="inlineStr">
        <is>
          <t>开发团队背景</t>
        </is>
      </c>
      <c r="B10" s="1" t="inlineStr">
        <is>
          <t>为本行业（政府）开发过类似的软件</t>
        </is>
      </c>
      <c r="C10" s="1">
        <f>IF(B10=B49,C49,IF(B10=B50,C50,IF(B10=B51,C51,0.8)))</f>
        <v/>
      </c>
      <c r="D10" s="16" t="n"/>
    </row>
    <row r="11">
      <c r="A11" s="16" t="n"/>
      <c r="B11" s="16" t="n"/>
      <c r="C11" s="16" t="n"/>
      <c r="D11" s="16" t="n"/>
    </row>
    <row r="12">
      <c r="A12" s="1" t="inlineStr">
        <is>
          <t>应用类型</t>
        </is>
      </c>
      <c r="B12" s="1" t="inlineStr">
        <is>
          <t>描述</t>
        </is>
      </c>
      <c r="C12" s="1" t="inlineStr">
        <is>
          <t>调整因子</t>
        </is>
      </c>
      <c r="D12" s="16" t="n"/>
    </row>
    <row r="13">
      <c r="A13" s="16" t="n"/>
      <c r="B13" s="1" t="inlineStr">
        <is>
          <t>业务处理</t>
        </is>
      </c>
      <c r="C13" s="1" t="inlineStr">
        <is>
          <t>办公自动化系统：人事、会计、工资、销售等经营管理及业务处理用软件等</t>
        </is>
      </c>
      <c r="D13" s="19" t="n">
        <v>1</v>
      </c>
    </row>
    <row r="14">
      <c r="A14" s="16" t="n"/>
      <c r="B14" s="1" t="inlineStr">
        <is>
          <t>应用集成</t>
        </is>
      </c>
      <c r="C14" s="1" t="inlineStr">
        <is>
          <t>企业服务总线、应用集成等</t>
        </is>
      </c>
      <c r="D14" s="19" t="n">
        <v>1.2</v>
      </c>
    </row>
    <row r="15">
      <c r="A15" s="16" t="n"/>
      <c r="B15" s="1" t="inlineStr">
        <is>
          <t>科技</t>
        </is>
      </c>
      <c r="C15" s="1" t="inlineStr">
        <is>
          <t>科学计算、仿真、基于复杂算法的统计分析等</t>
        </is>
      </c>
      <c r="D15" s="19" t="n">
        <v>1.2</v>
      </c>
    </row>
    <row r="16">
      <c r="A16" s="16" t="n"/>
      <c r="B16" s="1" t="inlineStr">
        <is>
          <t>多媒体</t>
        </is>
      </c>
      <c r="C16" s="1" t="inlineStr">
        <is>
          <t>图形、影像、声音等多媒体应用领域：地理信息系统：教育和娱乐等</t>
        </is>
      </c>
      <c r="D16" s="19" t="n">
        <v>1.5</v>
      </c>
    </row>
    <row r="17">
      <c r="A17" s="16" t="n"/>
      <c r="B17" s="1" t="inlineStr">
        <is>
          <t>智能信息</t>
        </is>
      </c>
      <c r="C17" s="1" t="inlineStr">
        <is>
          <t>自然语言处理、大模型、计算机视觉、智能决策、专家系统等</t>
        </is>
      </c>
      <c r="D17" s="19" t="n">
        <v>1.7</v>
      </c>
    </row>
    <row r="18">
      <c r="A18" s="16" t="n"/>
      <c r="B18" s="1" t="inlineStr">
        <is>
          <t>基础软件/支撑软件</t>
        </is>
      </c>
      <c r="C18" s="1" t="inlineStr">
        <is>
          <t>操作系统、数据库系统、集成开发环境、自动化开发/设计工具等</t>
        </is>
      </c>
      <c r="D18" s="19" t="n">
        <v>1.7</v>
      </c>
    </row>
    <row r="19">
      <c r="A19" s="16" t="n"/>
      <c r="B19" s="1" t="inlineStr">
        <is>
          <t>通信控制</t>
        </is>
      </c>
      <c r="C19" s="1" t="inlineStr">
        <is>
          <t>通信协议、仿真、交换机软件、全球定位系统等</t>
        </is>
      </c>
      <c r="D19" s="19" t="n">
        <v>1.9</v>
      </c>
    </row>
    <row r="20">
      <c r="A20" s="16" t="n"/>
      <c r="B20" s="1" t="inlineStr">
        <is>
          <t>流程控制</t>
        </is>
      </c>
      <c r="C20" s="1" t="inlineStr">
        <is>
          <t>实时系统控制、机器人控制、嵌入式软件等</t>
        </is>
      </c>
      <c r="D20" s="19" t="n">
        <v>2</v>
      </c>
    </row>
    <row r="21">
      <c r="A21" s="16" t="n"/>
      <c r="B21" s="16" t="n"/>
      <c r="C21" s="16" t="n"/>
      <c r="D21" s="16" t="n"/>
    </row>
    <row r="22">
      <c r="A22" s="1" t="inlineStr">
        <is>
          <t>调整因子</t>
        </is>
      </c>
      <c r="B22" s="1" t="inlineStr">
        <is>
          <t>判断标准</t>
        </is>
      </c>
      <c r="C22" s="1" t="inlineStr">
        <is>
          <t>调整因子</t>
        </is>
      </c>
      <c r="D22" s="16" t="n"/>
    </row>
    <row r="23">
      <c r="A23" s="16" t="n"/>
      <c r="B23" s="1" t="inlineStr">
        <is>
          <t>分布式处理</t>
        </is>
      </c>
      <c r="C23" s="1" t="inlineStr">
        <is>
          <t>没有明示对分布式处理的需求事项</t>
        </is>
      </c>
      <c r="D23" s="19" t="n">
        <v>-1</v>
      </c>
    </row>
    <row r="24">
      <c r="A24" s="16" t="n"/>
      <c r="B24" s="16" t="n"/>
      <c r="C24" s="1" t="inlineStr">
        <is>
          <t>通过网络进行客户端/服务器及网络基础应用分布处理和传输</t>
        </is>
      </c>
      <c r="D24" s="19" t="n">
        <v>0</v>
      </c>
    </row>
    <row r="25">
      <c r="A25" s="16" t="n"/>
      <c r="B25" s="16" t="n"/>
      <c r="C25" s="1" t="inlineStr">
        <is>
          <t>在多个服务器及处理器上同时相互执行计算机系统中的处理功能</t>
        </is>
      </c>
      <c r="D25" s="19" t="n">
        <v>1</v>
      </c>
    </row>
    <row r="26">
      <c r="A26" s="16" t="n"/>
      <c r="B26" s="1" t="inlineStr">
        <is>
          <t>性能</t>
        </is>
      </c>
      <c r="C26" s="1" t="inlineStr">
        <is>
          <t>没有明示对性能的特别需求事项或活动，因此提供基本性能</t>
        </is>
      </c>
      <c r="D26" s="19" t="n">
        <v>-1</v>
      </c>
    </row>
    <row r="27">
      <c r="A27" s="16" t="n"/>
      <c r="B27" s="16" t="n"/>
      <c r="C27" s="1" t="inlineStr">
        <is>
          <t>应答时间或处理率对高峰时间或所有业务时间来说都很重要，对连动系统结束处理时间的限制</t>
        </is>
      </c>
      <c r="D27" s="19" t="n">
        <v>0</v>
      </c>
    </row>
    <row r="28">
      <c r="A28" s="16" t="n"/>
      <c r="B28" s="16" t="n"/>
      <c r="C28" s="1" t="inlineStr">
        <is>
          <t>为满足性能需求事项，要求设计阶段开始进行性能分析，或在设计、开发阶段使用分析工具</t>
        </is>
      </c>
      <c r="D28" s="19" t="n">
        <v>1</v>
      </c>
    </row>
    <row r="29">
      <c r="A29" s="16" t="n"/>
      <c r="B29" s="1" t="inlineStr">
        <is>
          <t>可靠性</t>
        </is>
      </c>
      <c r="C29" s="1" t="inlineStr">
        <is>
          <t>没有明示对可靠性的特别需求事项或活动，因此提供基本的可靠性</t>
        </is>
      </c>
      <c r="D29" s="19" t="n">
        <v>-1</v>
      </c>
    </row>
    <row r="30">
      <c r="A30" s="16" t="n"/>
      <c r="B30" s="16" t="n"/>
      <c r="C30" s="1" t="inlineStr">
        <is>
          <t>发生故障时可轻易修复，带来一定不便或经济损失</t>
        </is>
      </c>
      <c r="D30" s="19" t="n">
        <v>0</v>
      </c>
    </row>
    <row r="31">
      <c r="A31" s="16" t="n"/>
      <c r="B31" s="16" t="n"/>
      <c r="C31" s="1" t="inlineStr">
        <is>
          <t>发生故障时很难复，发生重大经济损失或有生命危害</t>
        </is>
      </c>
      <c r="D31" s="19" t="n">
        <v>1</v>
      </c>
    </row>
    <row r="32">
      <c r="A32" s="16" t="n"/>
      <c r="B32" s="1" t="inlineStr">
        <is>
          <t>多重站点</t>
        </is>
      </c>
      <c r="C32" s="1" t="inlineStr">
        <is>
          <t>在相同用途的硬件或软件环境下运行</t>
        </is>
      </c>
      <c r="D32" s="19" t="n">
        <v>-1</v>
      </c>
    </row>
    <row r="33">
      <c r="A33" s="16" t="n"/>
      <c r="B33" s="16" t="n"/>
      <c r="C33" s="1" t="inlineStr">
        <is>
          <t>在用途类似的硬件或软件环境下运行</t>
        </is>
      </c>
      <c r="D33" s="19" t="n">
        <v>0</v>
      </c>
    </row>
    <row r="34">
      <c r="A34" s="16" t="n"/>
      <c r="B34" s="16" t="n"/>
      <c r="C34" s="1" t="inlineStr">
        <is>
          <t>在不同用途的硬件或软件环境下运行</t>
        </is>
      </c>
      <c r="D34" s="19" t="n">
        <v>1</v>
      </c>
    </row>
    <row r="35">
      <c r="A35" s="16" t="n"/>
      <c r="B35" s="16" t="n"/>
      <c r="C35" s="16" t="n"/>
      <c r="D35" s="16" t="n"/>
    </row>
    <row r="36">
      <c r="A36" s="16" t="n"/>
      <c r="B36" s="1" t="inlineStr">
        <is>
          <t>规模变更调整因子 (CF)</t>
        </is>
      </c>
      <c r="C36" s="16" t="n"/>
      <c r="D36" s="16" t="n"/>
    </row>
    <row r="37">
      <c r="A37" s="16" t="n"/>
      <c r="B37" s="1" t="inlineStr">
        <is>
          <t>估算早期</t>
        </is>
      </c>
      <c r="C37" s="1" t="inlineStr">
        <is>
          <t>概算、预算阶段</t>
        </is>
      </c>
      <c r="D37" s="19" t="n">
        <v>1.39</v>
      </c>
    </row>
    <row r="38">
      <c r="A38" s="16" t="n"/>
      <c r="B38" s="1" t="inlineStr">
        <is>
          <t>估算中期</t>
        </is>
      </c>
      <c r="C38" s="1" t="inlineStr">
        <is>
          <t>投标、项目计划阶段</t>
        </is>
      </c>
      <c r="D38" s="19" t="n">
        <v>1.21</v>
      </c>
    </row>
    <row r="39">
      <c r="A39" s="16" t="n"/>
      <c r="B39" s="1" t="inlineStr">
        <is>
          <t>估算晚期</t>
        </is>
      </c>
      <c r="C39" s="1" t="inlineStr">
        <is>
          <t>需求分析阶段</t>
        </is>
      </c>
      <c r="D39" s="19" t="n">
        <v>1.1</v>
      </c>
    </row>
    <row r="40">
      <c r="A40" s="16" t="n"/>
      <c r="B40" s="1" t="inlineStr">
        <is>
          <t>项目完成</t>
        </is>
      </c>
      <c r="C40" s="1" t="inlineStr">
        <is>
          <t>项目交付后及运维阶段</t>
        </is>
      </c>
      <c r="D40" s="19" t="n">
        <v>1</v>
      </c>
    </row>
    <row r="41">
      <c r="A41" s="16" t="n"/>
      <c r="B41" s="16" t="n"/>
      <c r="C41" s="16" t="n"/>
      <c r="D41" s="16" t="n"/>
    </row>
    <row r="42">
      <c r="A42" s="16" t="n"/>
      <c r="B42" s="1" t="inlineStr">
        <is>
          <t>开发语言</t>
        </is>
      </c>
      <c r="C42" s="16" t="n"/>
      <c r="D42" s="19" t="inlineStr">
        <is>
          <t>调整因子</t>
        </is>
      </c>
    </row>
    <row r="43">
      <c r="A43" s="16" t="n"/>
      <c r="B43" s="1" t="inlineStr">
        <is>
          <t>C 及其他同级别语言/平台</t>
        </is>
      </c>
      <c r="C43" s="16" t="n"/>
      <c r="D43" s="19" t="n">
        <v>1.2</v>
      </c>
    </row>
    <row r="44">
      <c r="A44" s="16" t="n"/>
      <c r="B44" s="1" t="inlineStr">
        <is>
          <t>JAVA、C++、C#及其他同级别语言/平台</t>
        </is>
      </c>
      <c r="C44" s="16" t="n"/>
      <c r="D44" s="19" t="n">
        <v>1</v>
      </c>
    </row>
    <row r="45">
      <c r="A45" s="16" t="n"/>
      <c r="B45" s="1" t="inlineStr">
        <is>
          <t>PowerBuilder、ASP 及其他同级别语言/平台</t>
        </is>
      </c>
      <c r="C45" s="16" t="n"/>
      <c r="D45" s="19" t="n">
        <v>0.8</v>
      </c>
    </row>
    <row r="46">
      <c r="A46" s="16" t="n"/>
      <c r="B46" s="16" t="n"/>
      <c r="C46" s="16" t="n"/>
      <c r="D46" s="16" t="n"/>
    </row>
    <row r="47">
      <c r="A47" s="16" t="n"/>
      <c r="B47" s="1" t="inlineStr">
        <is>
          <t>开发团队背景</t>
        </is>
      </c>
      <c r="C47" s="16" t="n"/>
      <c r="D47" s="19" t="inlineStr">
        <is>
          <t>调整因子</t>
        </is>
      </c>
    </row>
    <row r="48">
      <c r="A48" s="16" t="n"/>
      <c r="B48" s="1" t="inlineStr">
        <is>
          <t>为本行业（政府）开发过类似的软件</t>
        </is>
      </c>
      <c r="C48" s="16" t="n"/>
      <c r="D48" s="19" t="n">
        <v>0.8</v>
      </c>
    </row>
    <row r="49">
      <c r="A49" s="16" t="n"/>
      <c r="B49" s="1" t="inlineStr">
        <is>
          <t>为其他行业开发过类似的软件，或为本行业（政府）开发过不同但相关的软件</t>
        </is>
      </c>
      <c r="C49" s="16" t="n"/>
      <c r="D49" s="19" t="n">
        <v>1</v>
      </c>
    </row>
    <row r="50">
      <c r="A50" s="16" t="n"/>
      <c r="B50" s="1" t="inlineStr">
        <is>
          <t>未开发过类似软件</t>
        </is>
      </c>
      <c r="C50" s="16" t="n"/>
      <c r="D50" s="19" t="n">
        <v>1.2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40" customWidth="1" min="4" max="4"/>
  </cols>
  <sheetData>
    <row r="1" ht="40" customHeight="1">
      <c r="A1" s="2" t="inlineStr">
        <is>
          <t>4. 评估结果</t>
        </is>
      </c>
    </row>
    <row r="3">
      <c r="C3" s="20" t="inlineStr">
        <is>
          <t>数值</t>
        </is>
      </c>
      <c r="D3" s="20" t="inlineStr">
        <is>
          <t>说明</t>
        </is>
      </c>
    </row>
    <row r="4">
      <c r="A4" s="16" t="inlineStr">
        <is>
          <t>规模估算结果 (单位：功能点)</t>
        </is>
      </c>
      <c r="B4" s="16" t="n"/>
      <c r="C4" s="21">
        <f>SUM('2. 规模估算'!K10:K170)</f>
        <v/>
      </c>
      <c r="D4" s="16" t="inlineStr">
        <is>
          <t>AFP</t>
        </is>
      </c>
    </row>
    <row r="5">
      <c r="A5" s="16" t="inlineStr">
        <is>
          <t>规模变更调整因子</t>
        </is>
      </c>
      <c r="B5" s="16" t="n"/>
      <c r="C5" s="21">
        <f>'2. 规模估算'!C5</f>
        <v/>
      </c>
      <c r="D5" s="16" t="inlineStr">
        <is>
          <t>CF, 项目阶段</t>
        </is>
      </c>
    </row>
    <row r="6">
      <c r="A6" s="16" t="inlineStr">
        <is>
          <t>调整后规模 (单位：功能点)</t>
        </is>
      </c>
      <c r="B6" s="16" t="n"/>
      <c r="C6" s="21">
        <f>C4*C5</f>
        <v/>
      </c>
      <c r="D6" s="16" t="inlineStr">
        <is>
          <t>S, 等于 AFP*CF</t>
        </is>
      </c>
    </row>
    <row r="7">
      <c r="A7" s="16" t="inlineStr">
        <is>
          <t>基准生产率 (单位：人时/功能点)</t>
        </is>
      </c>
      <c r="B7" s="16" t="n"/>
      <c r="C7" s="16" t="n">
        <v>10.12</v>
      </c>
      <c r="D7" s="22" t="inlineStr">
        <is>
          <t>PDR, 来自《2024 年软件行业基准数据》</t>
        </is>
      </c>
    </row>
    <row r="8">
      <c r="A8" s="16" t="inlineStr">
        <is>
          <t>未调整工作量 (单位：人天)</t>
        </is>
      </c>
      <c r="B8" s="16" t="n"/>
      <c r="C8" s="21">
        <f>C6*C7/8</f>
        <v/>
      </c>
      <c r="D8" s="16" t="inlineStr">
        <is>
          <t>S*PDR/8h</t>
        </is>
      </c>
    </row>
    <row r="9">
      <c r="A9" s="23" t="inlineStr">
        <is>
          <t>调整因子</t>
        </is>
      </c>
      <c r="B9" s="16" t="inlineStr">
        <is>
          <t>应用类型</t>
        </is>
      </c>
      <c r="C9" s="21" t="n">
        <v>1</v>
      </c>
      <c r="D9" s="16">
        <f>'3. 调整因子'!D3</f>
        <v/>
      </c>
    </row>
    <row r="10">
      <c r="A10" s="16" t="n"/>
      <c r="B10" s="16" t="inlineStr">
        <is>
          <t>质量特性</t>
        </is>
      </c>
      <c r="C10" s="21" t="n">
        <v>0.9</v>
      </c>
      <c r="D10" s="16">
        <f>1+0.025*SUM('3. 调整因子'!D4:D7)</f>
        <v/>
      </c>
    </row>
    <row r="11">
      <c r="A11" s="16" t="n"/>
      <c r="B11" s="16" t="inlineStr">
        <is>
          <t>开发语言</t>
        </is>
      </c>
      <c r="C11" s="21" t="n">
        <v>1</v>
      </c>
      <c r="D11" s="16">
        <f>'3. 调整因子'!D8</f>
        <v/>
      </c>
    </row>
    <row r="12">
      <c r="A12" s="16" t="n"/>
      <c r="B12" s="16" t="inlineStr">
        <is>
          <t>开发团队背景</t>
        </is>
      </c>
      <c r="C12" s="21" t="n">
        <v>0.8</v>
      </c>
      <c r="D12" s="16">
        <f>'3. 调整因子'!D9</f>
        <v/>
      </c>
    </row>
    <row r="13">
      <c r="A13" s="16" t="inlineStr">
        <is>
          <t>调整后工作量 (单位：人天)</t>
        </is>
      </c>
      <c r="B13" s="16" t="n"/>
      <c r="C13" s="21">
        <f>C8*C9*C10*C11*C12</f>
        <v/>
      </c>
      <c r="D13" s="22" t="inlineStr">
        <is>
          <t>AE,S*PDR/8h*A*B*C*D</t>
        </is>
      </c>
    </row>
  </sheetData>
  <mergeCells count="8">
    <mergeCell ref="A4:B4"/>
    <mergeCell ref="A7:B7"/>
    <mergeCell ref="A1:C1"/>
    <mergeCell ref="A9:A12"/>
    <mergeCell ref="A5:B5"/>
    <mergeCell ref="A13:B13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2026-03-19T08:07:56Z</dcterms:created>
  <dcterms:modified xmlns:dcterms="http://purl.org/dc/terms/" xmlns:xsi="http://www.w3.org/2001/XMLSchema-instance" xsi:type="dcterms:W3CDTF">2026-03-19T08:07:56Z</dcterms:modified>
</cp:coreProperties>
</file>