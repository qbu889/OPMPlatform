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880"/>
  </bookViews>
  <sheets>
    <sheet name="202603～5月" sheetId="5" r:id="rId1"/>
    <sheet name="版本号计算" sheetId="1" r:id="rId2"/>
    <sheet name="初始版本号" sheetId="6" r:id="rId3"/>
    <sheet name="软件名称和目标IP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<sst xmlns="http://schemas.openxmlformats.org/spreadsheetml/2006/main" count="578" uniqueCount="89">
  <si>
    <t>序号</t>
  </si>
  <si>
    <t>软件名称</t>
  </si>
  <si>
    <t>版本号</t>
  </si>
  <si>
    <t>装载日期</t>
  </si>
  <si>
    <t>操作类型</t>
  </si>
  <si>
    <t>目标名称</t>
  </si>
  <si>
    <t>目标IP</t>
  </si>
  <si>
    <t>操作人员</t>
  </si>
  <si>
    <t>操作验证</t>
  </si>
  <si>
    <t>验证人员</t>
  </si>
  <si>
    <t>备注</t>
  </si>
  <si>
    <t>智能调服务</t>
  </si>
  <si>
    <t>1.2.2</t>
  </si>
  <si>
    <t>更新</t>
  </si>
  <si>
    <t>10.46.102.85、10.46.102.86</t>
  </si>
  <si>
    <t>李金山</t>
  </si>
  <si>
    <t>正常</t>
  </si>
  <si>
    <t>林子旺</t>
  </si>
  <si>
    <t>监控综合应用平台2026年3月11日功能升级申请</t>
  </si>
  <si>
    <t>省内工单服务</t>
  </si>
  <si>
    <t>1.5.2</t>
  </si>
  <si>
    <t>10.44.225.197、10.43.118.48、10.43.118.47、10.44.225.30、10.44.225.31、10.44.225.33</t>
  </si>
  <si>
    <t>姚翔</t>
  </si>
  <si>
    <t>监控综合应用平台2026年4月2日功能升级申请</t>
  </si>
  <si>
    <t>1.2.3</t>
  </si>
  <si>
    <t>1.5.3</t>
  </si>
  <si>
    <t>监控综合应用平台2026年4月15日功能升级申请</t>
  </si>
  <si>
    <t>1.2.4</t>
  </si>
  <si>
    <t>1.2.5</t>
  </si>
  <si>
    <t>监控综合应用平台2026年4月23日功能升级申请</t>
  </si>
  <si>
    <t>1.5.4</t>
  </si>
  <si>
    <t>1.2.6</t>
  </si>
  <si>
    <t>监控综合应用平台2026年5月7日功能升级申请</t>
  </si>
  <si>
    <t>1.5.5</t>
  </si>
  <si>
    <t>1.2.7</t>
  </si>
  <si>
    <t>监控综合应用平台2026年5月20日功能升级申请</t>
  </si>
  <si>
    <t>迭代次数 N</t>
  </si>
  <si>
    <t>首次初始版本</t>
  </si>
  <si>
    <t>计算小数</t>
  </si>
  <si>
    <t>版本计算</t>
  </si>
  <si>
    <t>标准版本号</t>
  </si>
  <si>
    <t>1.4.6</t>
  </si>
  <si>
    <t>吴世祥</t>
  </si>
  <si>
    <t>监控综合应用平台2025年7月8日功能升级申请</t>
  </si>
  <si>
    <t>1.4.7</t>
  </si>
  <si>
    <t>监控综合应用平台2025年7月24日功能升级申请</t>
  </si>
  <si>
    <t>告警数据采集</t>
  </si>
  <si>
    <t>1.1.5</t>
  </si>
  <si>
    <t>10.43.118.45、10.43.118.46、10.44.225.116</t>
  </si>
  <si>
    <t>高胜永</t>
  </si>
  <si>
    <t>重定义服务</t>
  </si>
  <si>
    <t>产品重定义服务</t>
  </si>
  <si>
    <t>实例化es入库</t>
  </si>
  <si>
    <t>规则匹配服务</t>
  </si>
  <si>
    <t>事件查询服务</t>
  </si>
  <si>
    <t>1.4.8</t>
  </si>
  <si>
    <t>监控综合应用平台2025年8月6日功能升级申请</t>
  </si>
  <si>
    <t>1.1.6</t>
  </si>
  <si>
    <t>1.4.9</t>
  </si>
  <si>
    <t>监控综合应用平台2025年9月8日功能升级申请</t>
  </si>
  <si>
    <t>1.1.7</t>
  </si>
  <si>
    <t>事件工单</t>
  </si>
  <si>
    <t>1.5.0</t>
  </si>
  <si>
    <t>监控综合应用平台2025年10月9日配合数智化引擎鉴权申请</t>
  </si>
  <si>
    <t>1.5.1</t>
  </si>
  <si>
    <t>监控综合应用平台2025年10月13日功能升级申请</t>
  </si>
  <si>
    <t>产品业务事件监控</t>
  </si>
  <si>
    <t>1.8.3</t>
  </si>
  <si>
    <t>10.44.225.153、10.43.52.55</t>
  </si>
  <si>
    <t>金文辉</t>
  </si>
  <si>
    <t>1.1.8</t>
  </si>
  <si>
    <t>监控综合应用平台2025年10月27日功能升级申请</t>
  </si>
  <si>
    <t>监控综合应用平台2025年11月24日功能升级申请</t>
  </si>
  <si>
    <t>监控综合应用平台2025年12月4日功能升级申请</t>
  </si>
  <si>
    <t>nacos</t>
  </si>
  <si>
    <t>2.5.2</t>
  </si>
  <si>
    <t>迁移</t>
  </si>
  <si>
    <t>10.43.52.58、10.43.52.59、10.43.149.199</t>
  </si>
  <si>
    <t>张保全</t>
  </si>
  <si>
    <t>分级调服务</t>
  </si>
  <si>
    <t>移动易运维</t>
  </si>
  <si>
    <t>复盘服务</t>
  </si>
  <si>
    <t>集团工单服务</t>
  </si>
  <si>
    <t>初始化基准版本</t>
  </si>
  <si>
    <t>实例化 es 入库</t>
  </si>
  <si>
    <t>1.1.1</t>
  </si>
  <si>
    <t>10.43.52.51、10.43.52.52、10.43.52.53、10.43.52.54</t>
  </si>
  <si>
    <t>10.44.225.32、10.44.225.39、10.46.102.90、10.46.102.91、10.46.102.92</t>
  </si>
  <si>
    <t>10.44.225.30、10.44.225.31、10.44.225.33、10.46.102.83、10.46.102.84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</si>
</sst>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4"/>
      <name val="宋体"/>
      <charset val="134"/>
      <scheme val="minor"/>
    </font>
    <font>
      <sz val="11"/>
      <color theme="5"/>
      <name val="宋体"/>
      <charset val="134"/>
      <scheme val="minor"/>
    </font>
    <font>
      <sz val="11"/>
      <color theme="7" tint="-0.25"/>
      <name val="宋体"/>
      <charset val="134"/>
      <scheme val="minor"/>
    </font>
    <font>
      <sz val="11"/>
      <color theme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Font="1" applyBorder="1">
      <alignment vertical="center"/>
    </xf>
    <xf numFmtId="0" fontId="1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>
      <alignment vertical="center"/>
    </xf>
    <xf numFmtId="22" fontId="2" fillId="0" borderId="1" xfId="0" applyNumberFormat="1" applyFont="1" applyBorder="1">
      <alignment vertical="center"/>
    </xf>
    <xf numFmtId="0" fontId="3" fillId="0" borderId="1" xfId="0" applyFont="1" applyBorder="1">
      <alignment vertical="center"/>
    </xf>
    <xf numFmtId="22" fontId="3" fillId="0" borderId="1" xfId="0" applyNumberFormat="1" applyFont="1" applyBorder="1">
      <alignment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22" fontId="4" fillId="0" borderId="1" xfId="0" applyNumberFormat="1" applyFont="1" applyBorder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vertical="center" wrapText="1"/>
    </xf>
    <xf numFmtId="22" fontId="5" fillId="0" borderId="1" xfId="0" applyNumberFormat="1" applyFont="1" applyBorder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22" fontId="0" fillId="0" borderId="1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abSelected="1" workbookViewId="0">
      <selection activeCell="D5" sqref="D5"/>
    </sheetView>
  </sheetViews>
  <sheetFormatPr defaultColWidth="9.23076923076923" defaultRowHeight="16.8"/>
  <cols>
    <col min="1" max="1" width="6" style="5" customWidth="1"/>
    <col min="2" max="2" width="17.6153846153846" customWidth="1"/>
    <col min="3" max="3" width="8.15384615384615" customWidth="1"/>
    <col min="4" max="4" width="19.6923076923077" customWidth="1"/>
    <col min="5" max="6" width="10.3076923076923" customWidth="1"/>
    <col min="7" max="7" width="83.9230769230769" customWidth="1"/>
    <col min="8" max="10" width="10.3076923076923" customWidth="1"/>
    <col min="11" max="11" width="49.6923076923077" customWidth="1"/>
  </cols>
  <sheetData>
    <row r="1" spans="1:11">
      <c r="A1" s="1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7" spans="1:11">
      <c r="A2" s="16">
        <v>1</v>
      </c>
      <c r="B2" s="21" t="s">
        <v>11</v>
      </c>
      <c r="C2" s="22" t="s">
        <v>12</v>
      </c>
      <c r="D2" s="23">
        <v>46092.9166666667</v>
      </c>
      <c r="E2" s="1" t="s">
        <v>13</v>
      </c>
      <c r="F2" s="1"/>
      <c r="G2" s="1" t="s">
        <v>14</v>
      </c>
      <c r="H2" s="1" t="s">
        <v>15</v>
      </c>
      <c r="I2" s="1" t="s">
        <v>16</v>
      </c>
      <c r="J2" s="2" t="s">
        <v>17</v>
      </c>
      <c r="K2" s="2" t="s">
        <v>18</v>
      </c>
    </row>
    <row r="3" ht="17" spans="1:11">
      <c r="A3" s="16">
        <v>2</v>
      </c>
      <c r="B3" s="1" t="s">
        <v>19</v>
      </c>
      <c r="C3" s="22" t="s">
        <v>20</v>
      </c>
      <c r="D3" s="23">
        <v>46114.9166666667</v>
      </c>
      <c r="E3" s="1" t="s">
        <v>13</v>
      </c>
      <c r="F3" s="1"/>
      <c r="G3" s="1" t="s">
        <v>21</v>
      </c>
      <c r="H3" s="1" t="s">
        <v>22</v>
      </c>
      <c r="I3" s="1" t="s">
        <v>16</v>
      </c>
      <c r="J3" s="2" t="s">
        <v>17</v>
      </c>
      <c r="K3" s="2" t="s">
        <v>23</v>
      </c>
    </row>
    <row r="4" ht="17" spans="1:11">
      <c r="A4" s="16">
        <v>3</v>
      </c>
      <c r="B4" s="1" t="s">
        <v>11</v>
      </c>
      <c r="C4" s="22" t="s">
        <v>24</v>
      </c>
      <c r="D4" s="23">
        <v>46114.9166666667</v>
      </c>
      <c r="E4" s="1" t="s">
        <v>13</v>
      </c>
      <c r="F4" s="1"/>
      <c r="G4" s="1" t="s">
        <v>14</v>
      </c>
      <c r="H4" s="1" t="s">
        <v>15</v>
      </c>
      <c r="I4" s="1" t="s">
        <v>16</v>
      </c>
      <c r="J4" s="2" t="s">
        <v>17</v>
      </c>
      <c r="K4" s="2" t="s">
        <v>23</v>
      </c>
    </row>
    <row r="5" ht="17" spans="1:11">
      <c r="A5" s="16">
        <v>4</v>
      </c>
      <c r="B5" s="1" t="s">
        <v>19</v>
      </c>
      <c r="C5" s="22" t="s">
        <v>25</v>
      </c>
      <c r="D5" s="23">
        <v>46127.9166666667</v>
      </c>
      <c r="E5" s="1" t="s">
        <v>13</v>
      </c>
      <c r="F5" s="1"/>
      <c r="G5" s="1" t="s">
        <v>21</v>
      </c>
      <c r="H5" s="1" t="s">
        <v>22</v>
      </c>
      <c r="I5" s="1" t="s">
        <v>16</v>
      </c>
      <c r="J5" s="2" t="s">
        <v>17</v>
      </c>
      <c r="K5" s="2" t="s">
        <v>26</v>
      </c>
    </row>
    <row r="6" ht="17" spans="1:11">
      <c r="A6" s="16">
        <v>5</v>
      </c>
      <c r="B6" s="1" t="s">
        <v>11</v>
      </c>
      <c r="C6" s="22" t="s">
        <v>27</v>
      </c>
      <c r="D6" s="23">
        <v>46127.9166666667</v>
      </c>
      <c r="E6" s="1" t="s">
        <v>13</v>
      </c>
      <c r="F6" s="1"/>
      <c r="G6" s="1" t="s">
        <v>14</v>
      </c>
      <c r="H6" s="1" t="s">
        <v>15</v>
      </c>
      <c r="I6" s="1" t="s">
        <v>16</v>
      </c>
      <c r="J6" s="2" t="s">
        <v>17</v>
      </c>
      <c r="K6" s="2" t="s">
        <v>26</v>
      </c>
    </row>
    <row r="7" ht="17" spans="1:11">
      <c r="A7" s="16">
        <v>6</v>
      </c>
      <c r="B7" s="1" t="s">
        <v>11</v>
      </c>
      <c r="C7" s="22" t="s">
        <v>28</v>
      </c>
      <c r="D7" s="23">
        <v>46135.9166666667</v>
      </c>
      <c r="E7" s="1" t="s">
        <v>13</v>
      </c>
      <c r="F7" s="1"/>
      <c r="G7" s="1" t="s">
        <v>14</v>
      </c>
      <c r="H7" s="1" t="s">
        <v>15</v>
      </c>
      <c r="I7" s="1" t="s">
        <v>16</v>
      </c>
      <c r="J7" s="2" t="s">
        <v>17</v>
      </c>
      <c r="K7" s="2" t="s">
        <v>29</v>
      </c>
    </row>
    <row r="8" ht="17" spans="1:11">
      <c r="A8" s="16">
        <v>7</v>
      </c>
      <c r="B8" s="1" t="s">
        <v>19</v>
      </c>
      <c r="C8" s="22" t="s">
        <v>30</v>
      </c>
      <c r="D8" s="23">
        <v>46135.9166666667</v>
      </c>
      <c r="E8" s="1" t="s">
        <v>13</v>
      </c>
      <c r="F8" s="1"/>
      <c r="G8" s="1" t="s">
        <v>21</v>
      </c>
      <c r="H8" s="1" t="s">
        <v>22</v>
      </c>
      <c r="I8" s="1" t="s">
        <v>16</v>
      </c>
      <c r="J8" s="2" t="s">
        <v>17</v>
      </c>
      <c r="K8" s="2" t="s">
        <v>29</v>
      </c>
    </row>
    <row r="9" ht="17" spans="1:11">
      <c r="A9" s="16">
        <v>8</v>
      </c>
      <c r="B9" s="21" t="s">
        <v>11</v>
      </c>
      <c r="C9" s="22" t="s">
        <v>31</v>
      </c>
      <c r="D9" s="23">
        <v>46149.9166666667</v>
      </c>
      <c r="E9" s="1" t="s">
        <v>13</v>
      </c>
      <c r="F9" s="1"/>
      <c r="G9" s="1" t="s">
        <v>14</v>
      </c>
      <c r="H9" s="1" t="s">
        <v>15</v>
      </c>
      <c r="I9" s="1" t="s">
        <v>16</v>
      </c>
      <c r="J9" s="2" t="s">
        <v>17</v>
      </c>
      <c r="K9" s="2" t="s">
        <v>32</v>
      </c>
    </row>
    <row r="10" ht="17" spans="1:11">
      <c r="A10" s="16">
        <v>9</v>
      </c>
      <c r="B10" s="1" t="s">
        <v>19</v>
      </c>
      <c r="C10" s="22" t="s">
        <v>33</v>
      </c>
      <c r="D10" s="23">
        <v>46149.9166666667</v>
      </c>
      <c r="E10" s="1" t="s">
        <v>13</v>
      </c>
      <c r="F10" s="1"/>
      <c r="G10" s="1" t="s">
        <v>21</v>
      </c>
      <c r="H10" s="1" t="s">
        <v>22</v>
      </c>
      <c r="I10" s="1" t="s">
        <v>16</v>
      </c>
      <c r="J10" s="2" t="s">
        <v>17</v>
      </c>
      <c r="K10" s="2" t="s">
        <v>32</v>
      </c>
    </row>
    <row r="11" ht="17" spans="1:11">
      <c r="A11" s="16">
        <v>10</v>
      </c>
      <c r="B11" s="1" t="s">
        <v>11</v>
      </c>
      <c r="C11" s="22" t="s">
        <v>34</v>
      </c>
      <c r="D11" s="23">
        <v>46162.9166666667</v>
      </c>
      <c r="E11" s="1" t="s">
        <v>13</v>
      </c>
      <c r="F11" s="1"/>
      <c r="G11" s="1" t="s">
        <v>14</v>
      </c>
      <c r="H11" s="1" t="s">
        <v>15</v>
      </c>
      <c r="I11" s="1" t="s">
        <v>16</v>
      </c>
      <c r="J11" s="2" t="s">
        <v>17</v>
      </c>
      <c r="K11" s="2" t="s">
        <v>35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</sheetPr>
  <dimension ref="A1:P60"/>
  <sheetViews>
    <sheetView topLeftCell="A37" workbookViewId="0">
      <pane xSplit="3" topLeftCell="H1" activePane="topRight" state="frozen"/>
      <selection/>
      <selection pane="topRight" activeCell="A51" sqref="A51:P60"/>
    </sheetView>
  </sheetViews>
  <sheetFormatPr defaultColWidth="9" defaultRowHeight="16.8"/>
  <cols>
    <col min="2" max="2" width="31.9038461538462" customWidth="1"/>
    <col min="3" max="3" width="7.26923076923077" customWidth="1"/>
    <col min="4" max="4" width="19" customWidth="1"/>
    <col min="5" max="5" width="9.26923076923077" customWidth="1"/>
    <col min="6" max="6" width="8.90384615384615" customWidth="1"/>
    <col min="7" max="7" width="73.7115384615385" customWidth="1"/>
    <col min="11" max="11" width="55.2884615384615" customWidth="1"/>
    <col min="12" max="16" width="13.625" style="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6" t="s">
        <v>36</v>
      </c>
      <c r="M1" s="16" t="s">
        <v>37</v>
      </c>
      <c r="N1" s="16" t="s">
        <v>38</v>
      </c>
      <c r="O1" s="16" t="s">
        <v>39</v>
      </c>
      <c r="P1" s="16" t="s">
        <v>40</v>
      </c>
    </row>
    <row r="2" spans="1:16">
      <c r="A2" s="6">
        <v>1</v>
      </c>
      <c r="B2" s="6" t="s">
        <v>19</v>
      </c>
      <c r="C2" s="6" t="s">
        <v>41</v>
      </c>
      <c r="D2" s="7">
        <v>45846.9168055556</v>
      </c>
      <c r="E2" s="6" t="s">
        <v>13</v>
      </c>
      <c r="F2" s="6"/>
      <c r="G2" s="6" t="s">
        <v>21</v>
      </c>
      <c r="H2" s="6" t="s">
        <v>42</v>
      </c>
      <c r="I2" s="6" t="s">
        <v>16</v>
      </c>
      <c r="J2" s="6" t="s">
        <v>17</v>
      </c>
      <c r="K2" s="6" t="s">
        <v>43</v>
      </c>
      <c r="L2" s="17">
        <f>COUNTIF($B$2:B2,B2)-1</f>
        <v>0</v>
      </c>
      <c r="M2" s="17" t="str">
        <f>IFERROR(VLOOKUP(B2,初始版本号!$A:$B,2,0),"未匹配软件")</f>
        <v>1.4.6</v>
      </c>
      <c r="N2" s="17">
        <f>IFERROR(LEFT(M2,FIND(".",M2)-1)+MID(M2,FIND(".",M2)+1,FIND(".",M2,FIND(".",M2)+1)-FIND(".",M2)-1)/10+RIGHT(M2,LEN(M2)-FIND(".",M2,FIND(".",M2)+1))/100,0)</f>
        <v>1.46</v>
      </c>
      <c r="O2" s="17">
        <f>IFERROR(N2+L2*0.01,0)</f>
        <v>1.46</v>
      </c>
      <c r="P2" s="17" t="str">
        <f>IF(O2=0,"无版本",INT(O2)&amp;"."&amp;INT(MOD(O2,1)*10)&amp;"."&amp;MOD(INT(MOD(O2,1)*100),10))</f>
        <v>1.4.6</v>
      </c>
    </row>
    <row r="3" spans="1:16">
      <c r="A3" s="6">
        <v>2</v>
      </c>
      <c r="B3" s="6" t="s">
        <v>19</v>
      </c>
      <c r="C3" s="6" t="s">
        <v>44</v>
      </c>
      <c r="D3" s="7">
        <v>45862.9168055556</v>
      </c>
      <c r="E3" s="6" t="s">
        <v>13</v>
      </c>
      <c r="F3" s="6"/>
      <c r="G3" s="6" t="s">
        <v>21</v>
      </c>
      <c r="H3" s="6" t="s">
        <v>42</v>
      </c>
      <c r="I3" s="6" t="s">
        <v>16</v>
      </c>
      <c r="J3" s="6" t="s">
        <v>17</v>
      </c>
      <c r="K3" s="6" t="s">
        <v>45</v>
      </c>
      <c r="L3" s="17">
        <f>COUNTIF($B$2:B3,B3)-1</f>
        <v>1</v>
      </c>
      <c r="M3" s="17" t="str">
        <f>IFERROR(VLOOKUP(B3,初始版本号!$A:$B,2,0),"未匹配软件")</f>
        <v>1.4.6</v>
      </c>
      <c r="N3" s="17">
        <f t="shared" ref="N3:N54" si="0">IFERROR(LEFT(M3,FIND(".",M3)-1)+MID(M3,FIND(".",M3)+1,FIND(".",M3,FIND(".",M3)+1)-FIND(".",M3)-1)/10+RIGHT(M3,LEN(M3)-FIND(".",M3,FIND(".",M3)+1))/100,0)</f>
        <v>1.46</v>
      </c>
      <c r="O3" s="17">
        <f t="shared" ref="O3:O54" si="1">IFERROR(N3+L3*0.01,0)</f>
        <v>1.47</v>
      </c>
      <c r="P3" s="17" t="str">
        <f t="shared" ref="P3:P54" si="2">IF(O3=0,"无版本",INT(O3)&amp;"."&amp;INT(MOD(O3,1)*10)&amp;"."&amp;MOD(INT(MOD(O3,1)*100),10))</f>
        <v>1.4.7</v>
      </c>
    </row>
    <row r="4" spans="1:16">
      <c r="A4" s="6">
        <v>3</v>
      </c>
      <c r="B4" s="6" t="s">
        <v>46</v>
      </c>
      <c r="C4" s="6" t="s">
        <v>47</v>
      </c>
      <c r="D4" s="7">
        <v>45862.9168055556</v>
      </c>
      <c r="E4" s="6" t="s">
        <v>13</v>
      </c>
      <c r="F4" s="6"/>
      <c r="G4" s="6" t="s">
        <v>48</v>
      </c>
      <c r="H4" s="6" t="s">
        <v>49</v>
      </c>
      <c r="I4" s="6" t="s">
        <v>16</v>
      </c>
      <c r="J4" s="6" t="s">
        <v>17</v>
      </c>
      <c r="K4" s="6" t="s">
        <v>45</v>
      </c>
      <c r="L4" s="17">
        <f>COUNTIF($B$2:B4,B4)-1</f>
        <v>0</v>
      </c>
      <c r="M4" s="17" t="str">
        <f>IFERROR(VLOOKUP(B4,初始版本号!$A:$B,2,0),"未匹配软件")</f>
        <v>1.1.5</v>
      </c>
      <c r="N4" s="17">
        <f t="shared" si="0"/>
        <v>1.15</v>
      </c>
      <c r="O4" s="17">
        <f t="shared" si="1"/>
        <v>1.15</v>
      </c>
      <c r="P4" s="17" t="str">
        <f t="shared" si="2"/>
        <v>1.1.5</v>
      </c>
    </row>
    <row r="5" spans="1:16">
      <c r="A5" s="6">
        <v>4</v>
      </c>
      <c r="B5" s="6" t="s">
        <v>50</v>
      </c>
      <c r="C5" s="6" t="s">
        <v>47</v>
      </c>
      <c r="D5" s="7">
        <v>45862.9168055556</v>
      </c>
      <c r="E5" s="6" t="s">
        <v>13</v>
      </c>
      <c r="F5" s="6"/>
      <c r="G5" s="6" t="s">
        <v>48</v>
      </c>
      <c r="H5" s="6" t="s">
        <v>49</v>
      </c>
      <c r="I5" s="6" t="s">
        <v>16</v>
      </c>
      <c r="J5" s="6" t="s">
        <v>17</v>
      </c>
      <c r="K5" s="6" t="s">
        <v>45</v>
      </c>
      <c r="L5" s="17">
        <f>COUNTIF($B$2:B5,B5)-1</f>
        <v>0</v>
      </c>
      <c r="M5" s="17" t="str">
        <f>IFERROR(VLOOKUP(B5,初始版本号!$A:$B,2,0),"未匹配软件")</f>
        <v>1.1.5</v>
      </c>
      <c r="N5" s="17">
        <f t="shared" si="0"/>
        <v>1.15</v>
      </c>
      <c r="O5" s="17">
        <f t="shared" si="1"/>
        <v>1.15</v>
      </c>
      <c r="P5" s="17" t="str">
        <f t="shared" si="2"/>
        <v>1.1.5</v>
      </c>
    </row>
    <row r="6" spans="1:16">
      <c r="A6" s="6">
        <v>5</v>
      </c>
      <c r="B6" s="6" t="s">
        <v>51</v>
      </c>
      <c r="C6" s="6" t="s">
        <v>47</v>
      </c>
      <c r="D6" s="7">
        <v>45862.9168055556</v>
      </c>
      <c r="E6" s="6" t="s">
        <v>13</v>
      </c>
      <c r="F6" s="6"/>
      <c r="G6" s="6" t="s">
        <v>48</v>
      </c>
      <c r="H6" s="6" t="s">
        <v>49</v>
      </c>
      <c r="I6" s="6" t="s">
        <v>16</v>
      </c>
      <c r="J6" s="6" t="s">
        <v>17</v>
      </c>
      <c r="K6" s="6" t="s">
        <v>45</v>
      </c>
      <c r="L6" s="17">
        <f>COUNTIF($B$2:B6,B6)-1</f>
        <v>0</v>
      </c>
      <c r="M6" s="17" t="str">
        <f>IFERROR(VLOOKUP(B6,初始版本号!$A:$B,2,0),"未匹配软件")</f>
        <v>1.1.5</v>
      </c>
      <c r="N6" s="17">
        <f t="shared" si="0"/>
        <v>1.15</v>
      </c>
      <c r="O6" s="17">
        <f t="shared" si="1"/>
        <v>1.15</v>
      </c>
      <c r="P6" s="17" t="str">
        <f t="shared" si="2"/>
        <v>1.1.5</v>
      </c>
    </row>
    <row r="7" spans="1:16">
      <c r="A7" s="6">
        <v>6</v>
      </c>
      <c r="B7" s="6" t="s">
        <v>52</v>
      </c>
      <c r="C7" s="6" t="s">
        <v>47</v>
      </c>
      <c r="D7" s="7">
        <v>45862.9168055556</v>
      </c>
      <c r="E7" s="6" t="s">
        <v>13</v>
      </c>
      <c r="F7" s="6"/>
      <c r="G7" s="6" t="s">
        <v>48</v>
      </c>
      <c r="H7" s="6" t="s">
        <v>49</v>
      </c>
      <c r="I7" s="6" t="s">
        <v>16</v>
      </c>
      <c r="J7" s="6" t="s">
        <v>17</v>
      </c>
      <c r="K7" s="6" t="s">
        <v>45</v>
      </c>
      <c r="L7" s="17">
        <f>COUNTIF($B$2:B7,B7)-1</f>
        <v>0</v>
      </c>
      <c r="M7" s="17" t="str">
        <f>IFERROR(VLOOKUP(B7,初始版本号!$A:$B,2,0),"未匹配软件")</f>
        <v>1.1.8</v>
      </c>
      <c r="N7" s="17">
        <f t="shared" si="0"/>
        <v>1.18</v>
      </c>
      <c r="O7" s="17">
        <f t="shared" si="1"/>
        <v>1.18</v>
      </c>
      <c r="P7" s="17" t="str">
        <f t="shared" si="2"/>
        <v>1.1.8</v>
      </c>
    </row>
    <row r="8" spans="1:16">
      <c r="A8" s="6">
        <v>7</v>
      </c>
      <c r="B8" s="6" t="s">
        <v>53</v>
      </c>
      <c r="C8" s="6" t="s">
        <v>47</v>
      </c>
      <c r="D8" s="7">
        <v>45862.9168055556</v>
      </c>
      <c r="E8" s="6" t="s">
        <v>13</v>
      </c>
      <c r="F8" s="6"/>
      <c r="G8" s="6" t="s">
        <v>48</v>
      </c>
      <c r="H8" s="6" t="s">
        <v>49</v>
      </c>
      <c r="I8" s="6" t="s">
        <v>16</v>
      </c>
      <c r="J8" s="6" t="s">
        <v>17</v>
      </c>
      <c r="K8" s="6" t="s">
        <v>45</v>
      </c>
      <c r="L8" s="17">
        <f>COUNTIF($B$2:B8,B8)-1</f>
        <v>0</v>
      </c>
      <c r="M8" s="17" t="str">
        <f>IFERROR(VLOOKUP(B8,初始版本号!$A:$B,2,0),"未匹配软件")</f>
        <v>1.1.5</v>
      </c>
      <c r="N8" s="17">
        <f t="shared" si="0"/>
        <v>1.15</v>
      </c>
      <c r="O8" s="17">
        <f t="shared" si="1"/>
        <v>1.15</v>
      </c>
      <c r="P8" s="17" t="str">
        <f t="shared" si="2"/>
        <v>1.1.5</v>
      </c>
    </row>
    <row r="9" spans="1:16">
      <c r="A9" s="6">
        <v>8</v>
      </c>
      <c r="B9" s="6" t="s">
        <v>54</v>
      </c>
      <c r="C9" s="6" t="s">
        <v>47</v>
      </c>
      <c r="D9" s="7">
        <v>45862.9168055556</v>
      </c>
      <c r="E9" s="6" t="s">
        <v>13</v>
      </c>
      <c r="F9" s="6"/>
      <c r="G9" s="6" t="s">
        <v>48</v>
      </c>
      <c r="H9" s="6" t="s">
        <v>49</v>
      </c>
      <c r="I9" s="6" t="s">
        <v>16</v>
      </c>
      <c r="J9" s="6" t="s">
        <v>17</v>
      </c>
      <c r="K9" s="6" t="s">
        <v>45</v>
      </c>
      <c r="L9" s="17">
        <f>COUNTIF($B$2:B9,B9)-1</f>
        <v>0</v>
      </c>
      <c r="M9" s="17" t="str">
        <f>IFERROR(VLOOKUP(B9,初始版本号!$A:$B,2,0),"未匹配软件")</f>
        <v>1.1.5</v>
      </c>
      <c r="N9" s="17">
        <f t="shared" si="0"/>
        <v>1.15</v>
      </c>
      <c r="O9" s="17">
        <f t="shared" si="1"/>
        <v>1.15</v>
      </c>
      <c r="P9" s="17" t="str">
        <f t="shared" si="2"/>
        <v>1.1.5</v>
      </c>
    </row>
    <row r="10" spans="1:16">
      <c r="A10" s="6">
        <v>9</v>
      </c>
      <c r="B10" s="6" t="s">
        <v>19</v>
      </c>
      <c r="C10" s="6" t="s">
        <v>55</v>
      </c>
      <c r="D10" s="7">
        <v>45875.9168055556</v>
      </c>
      <c r="E10" s="6" t="s">
        <v>13</v>
      </c>
      <c r="F10" s="6"/>
      <c r="G10" s="6" t="s">
        <v>21</v>
      </c>
      <c r="H10" s="6" t="s">
        <v>42</v>
      </c>
      <c r="I10" s="6" t="s">
        <v>16</v>
      </c>
      <c r="J10" s="6" t="s">
        <v>17</v>
      </c>
      <c r="K10" s="18" t="s">
        <v>56</v>
      </c>
      <c r="L10" s="17">
        <f>COUNTIF($B$2:B10,B10)-1</f>
        <v>2</v>
      </c>
      <c r="M10" s="17" t="str">
        <f>IFERROR(VLOOKUP(B10,初始版本号!$A:$B,2,0),"未匹配软件")</f>
        <v>1.4.6</v>
      </c>
      <c r="N10" s="17">
        <f t="shared" si="0"/>
        <v>1.46</v>
      </c>
      <c r="O10" s="17">
        <f t="shared" si="1"/>
        <v>1.48</v>
      </c>
      <c r="P10" s="17" t="str">
        <f t="shared" si="2"/>
        <v>1.4.8</v>
      </c>
    </row>
    <row r="11" spans="1:16">
      <c r="A11" s="6">
        <v>10</v>
      </c>
      <c r="B11" s="6" t="s">
        <v>46</v>
      </c>
      <c r="C11" s="6" t="s">
        <v>57</v>
      </c>
      <c r="D11" s="7">
        <v>45875.9168055556</v>
      </c>
      <c r="E11" s="6" t="s">
        <v>13</v>
      </c>
      <c r="F11" s="6"/>
      <c r="G11" s="6" t="s">
        <v>48</v>
      </c>
      <c r="H11" s="6" t="s">
        <v>49</v>
      </c>
      <c r="I11" s="6" t="s">
        <v>16</v>
      </c>
      <c r="J11" s="6" t="s">
        <v>17</v>
      </c>
      <c r="K11" s="18" t="s">
        <v>56</v>
      </c>
      <c r="L11" s="17">
        <f>COUNTIF($B$2:B11,B11)-1</f>
        <v>1</v>
      </c>
      <c r="M11" s="17" t="str">
        <f>IFERROR(VLOOKUP(B11,初始版本号!$A:$B,2,0),"未匹配软件")</f>
        <v>1.1.5</v>
      </c>
      <c r="N11" s="17">
        <f t="shared" si="0"/>
        <v>1.15</v>
      </c>
      <c r="O11" s="17">
        <f t="shared" si="1"/>
        <v>1.16</v>
      </c>
      <c r="P11" s="17" t="str">
        <f t="shared" si="2"/>
        <v>1.1.6</v>
      </c>
    </row>
    <row r="12" spans="1:16">
      <c r="A12" s="6">
        <v>11</v>
      </c>
      <c r="B12" s="6" t="s">
        <v>50</v>
      </c>
      <c r="C12" s="6" t="s">
        <v>57</v>
      </c>
      <c r="D12" s="7">
        <v>45875.9168055556</v>
      </c>
      <c r="E12" s="6" t="s">
        <v>13</v>
      </c>
      <c r="F12" s="6"/>
      <c r="G12" s="6" t="s">
        <v>48</v>
      </c>
      <c r="H12" s="6" t="s">
        <v>49</v>
      </c>
      <c r="I12" s="6" t="s">
        <v>16</v>
      </c>
      <c r="J12" s="6" t="s">
        <v>17</v>
      </c>
      <c r="K12" s="18" t="s">
        <v>56</v>
      </c>
      <c r="L12" s="17">
        <f>COUNTIF($B$2:B12,B12)-1</f>
        <v>1</v>
      </c>
      <c r="M12" s="17" t="str">
        <f>IFERROR(VLOOKUP(B12,初始版本号!$A:$B,2,0),"未匹配软件")</f>
        <v>1.1.5</v>
      </c>
      <c r="N12" s="17">
        <f t="shared" si="0"/>
        <v>1.15</v>
      </c>
      <c r="O12" s="17">
        <f t="shared" si="1"/>
        <v>1.16</v>
      </c>
      <c r="P12" s="17" t="str">
        <f t="shared" si="2"/>
        <v>1.1.6</v>
      </c>
    </row>
    <row r="13" spans="1:16">
      <c r="A13" s="6">
        <v>12</v>
      </c>
      <c r="B13" s="6" t="s">
        <v>51</v>
      </c>
      <c r="C13" s="6" t="s">
        <v>57</v>
      </c>
      <c r="D13" s="7">
        <v>45875.9168055556</v>
      </c>
      <c r="E13" s="6" t="s">
        <v>13</v>
      </c>
      <c r="F13" s="6"/>
      <c r="G13" s="6" t="s">
        <v>48</v>
      </c>
      <c r="H13" s="6" t="s">
        <v>49</v>
      </c>
      <c r="I13" s="6" t="s">
        <v>16</v>
      </c>
      <c r="J13" s="6" t="s">
        <v>17</v>
      </c>
      <c r="K13" s="18" t="s">
        <v>56</v>
      </c>
      <c r="L13" s="17">
        <f>COUNTIF($B$2:B13,B13)-1</f>
        <v>1</v>
      </c>
      <c r="M13" s="17" t="str">
        <f>IFERROR(VLOOKUP(B13,初始版本号!$A:$B,2,0),"未匹配软件")</f>
        <v>1.1.5</v>
      </c>
      <c r="N13" s="17">
        <f t="shared" si="0"/>
        <v>1.15</v>
      </c>
      <c r="O13" s="17">
        <f t="shared" si="1"/>
        <v>1.16</v>
      </c>
      <c r="P13" s="17" t="str">
        <f t="shared" si="2"/>
        <v>1.1.6</v>
      </c>
    </row>
    <row r="14" spans="1:16">
      <c r="A14" s="6">
        <v>13</v>
      </c>
      <c r="B14" s="6" t="s">
        <v>52</v>
      </c>
      <c r="C14" s="6" t="s">
        <v>57</v>
      </c>
      <c r="D14" s="7">
        <v>45875.9168055556</v>
      </c>
      <c r="E14" s="6" t="s">
        <v>13</v>
      </c>
      <c r="F14" s="6"/>
      <c r="G14" s="6" t="s">
        <v>48</v>
      </c>
      <c r="H14" s="6" t="s">
        <v>49</v>
      </c>
      <c r="I14" s="6" t="s">
        <v>16</v>
      </c>
      <c r="J14" s="6" t="s">
        <v>17</v>
      </c>
      <c r="K14" s="18" t="s">
        <v>56</v>
      </c>
      <c r="L14" s="17">
        <f>COUNTIF($B$2:B14,B14)-1</f>
        <v>1</v>
      </c>
      <c r="M14" s="17" t="str">
        <f>IFERROR(VLOOKUP(B14,初始版本号!$A:$B,2,0),"未匹配软件")</f>
        <v>1.1.8</v>
      </c>
      <c r="N14" s="17">
        <f t="shared" si="0"/>
        <v>1.18</v>
      </c>
      <c r="O14" s="17">
        <f t="shared" si="1"/>
        <v>1.19</v>
      </c>
      <c r="P14" s="17" t="str">
        <f t="shared" si="2"/>
        <v>1.1.9</v>
      </c>
    </row>
    <row r="15" spans="1:16">
      <c r="A15" s="6">
        <v>14</v>
      </c>
      <c r="B15" s="6" t="s">
        <v>53</v>
      </c>
      <c r="C15" s="6" t="s">
        <v>57</v>
      </c>
      <c r="D15" s="7">
        <v>45875.9168055556</v>
      </c>
      <c r="E15" s="6" t="s">
        <v>13</v>
      </c>
      <c r="F15" s="6"/>
      <c r="G15" s="6" t="s">
        <v>48</v>
      </c>
      <c r="H15" s="6" t="s">
        <v>49</v>
      </c>
      <c r="I15" s="6" t="s">
        <v>16</v>
      </c>
      <c r="J15" s="6" t="s">
        <v>17</v>
      </c>
      <c r="K15" s="18" t="s">
        <v>56</v>
      </c>
      <c r="L15" s="17">
        <f>COUNTIF($B$2:B15,B15)-1</f>
        <v>1</v>
      </c>
      <c r="M15" s="17" t="str">
        <f>IFERROR(VLOOKUP(B15,初始版本号!$A:$B,2,0),"未匹配软件")</f>
        <v>1.1.5</v>
      </c>
      <c r="N15" s="17">
        <f t="shared" si="0"/>
        <v>1.15</v>
      </c>
      <c r="O15" s="17">
        <f t="shared" si="1"/>
        <v>1.16</v>
      </c>
      <c r="P15" s="17" t="str">
        <f t="shared" si="2"/>
        <v>1.1.6</v>
      </c>
    </row>
    <row r="16" spans="1:16">
      <c r="A16" s="6">
        <v>15</v>
      </c>
      <c r="B16" s="6" t="s">
        <v>54</v>
      </c>
      <c r="C16" s="6" t="s">
        <v>57</v>
      </c>
      <c r="D16" s="7">
        <v>45875.9168055556</v>
      </c>
      <c r="E16" s="6" t="s">
        <v>13</v>
      </c>
      <c r="F16" s="6"/>
      <c r="G16" s="6" t="s">
        <v>48</v>
      </c>
      <c r="H16" s="6" t="s">
        <v>49</v>
      </c>
      <c r="I16" s="6" t="s">
        <v>16</v>
      </c>
      <c r="J16" s="6" t="s">
        <v>17</v>
      </c>
      <c r="K16" s="18" t="s">
        <v>56</v>
      </c>
      <c r="L16" s="17">
        <f>COUNTIF($B$2:B16,B16)-1</f>
        <v>1</v>
      </c>
      <c r="M16" s="17" t="str">
        <f>IFERROR(VLOOKUP(B16,初始版本号!$A:$B,2,0),"未匹配软件")</f>
        <v>1.1.5</v>
      </c>
      <c r="N16" s="17">
        <f t="shared" si="0"/>
        <v>1.15</v>
      </c>
      <c r="O16" s="17">
        <f t="shared" si="1"/>
        <v>1.16</v>
      </c>
      <c r="P16" s="17" t="str">
        <f t="shared" si="2"/>
        <v>1.1.6</v>
      </c>
    </row>
    <row r="17" spans="1:16">
      <c r="A17" s="6">
        <v>16</v>
      </c>
      <c r="B17" s="6" t="s">
        <v>19</v>
      </c>
      <c r="C17" s="6" t="s">
        <v>58</v>
      </c>
      <c r="D17" s="7">
        <v>45875.9168055556</v>
      </c>
      <c r="E17" s="6" t="s">
        <v>13</v>
      </c>
      <c r="F17" s="6"/>
      <c r="G17" s="6" t="s">
        <v>21</v>
      </c>
      <c r="H17" s="6" t="s">
        <v>42</v>
      </c>
      <c r="I17" s="6" t="s">
        <v>16</v>
      </c>
      <c r="J17" s="6" t="s">
        <v>17</v>
      </c>
      <c r="K17" s="18" t="s">
        <v>59</v>
      </c>
      <c r="L17" s="17">
        <f>COUNTIF($B$2:B17,B17)-1</f>
        <v>3</v>
      </c>
      <c r="M17" s="17" t="str">
        <f>IFERROR(VLOOKUP(B17,初始版本号!$A:$B,2,0),"未匹配软件")</f>
        <v>1.4.6</v>
      </c>
      <c r="N17" s="17">
        <f t="shared" si="0"/>
        <v>1.46</v>
      </c>
      <c r="O17" s="17">
        <f t="shared" si="1"/>
        <v>1.49</v>
      </c>
      <c r="P17" s="17" t="str">
        <f t="shared" si="2"/>
        <v>1.4.9</v>
      </c>
    </row>
    <row r="18" spans="1:16">
      <c r="A18" s="6">
        <v>17</v>
      </c>
      <c r="B18" s="6" t="s">
        <v>46</v>
      </c>
      <c r="C18" s="6" t="s">
        <v>60</v>
      </c>
      <c r="D18" s="7">
        <v>45908.9168055556</v>
      </c>
      <c r="E18" s="6" t="s">
        <v>13</v>
      </c>
      <c r="F18" s="6"/>
      <c r="G18" s="6" t="s">
        <v>48</v>
      </c>
      <c r="H18" s="6" t="s">
        <v>49</v>
      </c>
      <c r="I18" s="6" t="s">
        <v>16</v>
      </c>
      <c r="J18" s="6" t="s">
        <v>17</v>
      </c>
      <c r="K18" s="18" t="s">
        <v>59</v>
      </c>
      <c r="L18" s="17">
        <f>COUNTIF($B$2:B18,B18)-1</f>
        <v>2</v>
      </c>
      <c r="M18" s="17" t="str">
        <f>IFERROR(VLOOKUP(B18,初始版本号!$A:$B,2,0),"未匹配软件")</f>
        <v>1.1.5</v>
      </c>
      <c r="N18" s="17">
        <f t="shared" si="0"/>
        <v>1.15</v>
      </c>
      <c r="O18" s="17">
        <f t="shared" si="1"/>
        <v>1.17</v>
      </c>
      <c r="P18" s="17" t="str">
        <f t="shared" si="2"/>
        <v>1.1.7</v>
      </c>
    </row>
    <row r="19" spans="1:16">
      <c r="A19" s="6">
        <v>18</v>
      </c>
      <c r="B19" s="6" t="s">
        <v>50</v>
      </c>
      <c r="C19" s="6" t="s">
        <v>60</v>
      </c>
      <c r="D19" s="7">
        <v>45908.9168055556</v>
      </c>
      <c r="E19" s="6" t="s">
        <v>13</v>
      </c>
      <c r="F19" s="6"/>
      <c r="G19" s="6" t="s">
        <v>48</v>
      </c>
      <c r="H19" s="6" t="s">
        <v>49</v>
      </c>
      <c r="I19" s="6" t="s">
        <v>16</v>
      </c>
      <c r="J19" s="6" t="s">
        <v>17</v>
      </c>
      <c r="K19" s="18" t="s">
        <v>59</v>
      </c>
      <c r="L19" s="17">
        <f>COUNTIF($B$2:B19,B19)-1</f>
        <v>2</v>
      </c>
      <c r="M19" s="17" t="str">
        <f>IFERROR(VLOOKUP(B19,初始版本号!$A:$B,2,0),"未匹配软件")</f>
        <v>1.1.5</v>
      </c>
      <c r="N19" s="17">
        <f t="shared" si="0"/>
        <v>1.15</v>
      </c>
      <c r="O19" s="17">
        <f t="shared" si="1"/>
        <v>1.17</v>
      </c>
      <c r="P19" s="17" t="str">
        <f t="shared" si="2"/>
        <v>1.1.7</v>
      </c>
    </row>
    <row r="20" spans="1:16">
      <c r="A20" s="6">
        <v>19</v>
      </c>
      <c r="B20" s="6" t="s">
        <v>51</v>
      </c>
      <c r="C20" s="6" t="s">
        <v>60</v>
      </c>
      <c r="D20" s="7">
        <v>45908.9168055556</v>
      </c>
      <c r="E20" s="6" t="s">
        <v>13</v>
      </c>
      <c r="F20" s="6"/>
      <c r="G20" s="6" t="s">
        <v>48</v>
      </c>
      <c r="H20" s="6" t="s">
        <v>49</v>
      </c>
      <c r="I20" s="6" t="s">
        <v>16</v>
      </c>
      <c r="J20" s="6" t="s">
        <v>17</v>
      </c>
      <c r="K20" s="18" t="s">
        <v>59</v>
      </c>
      <c r="L20" s="17">
        <f>COUNTIF($B$2:B20,B20)-1</f>
        <v>2</v>
      </c>
      <c r="M20" s="17" t="str">
        <f>IFERROR(VLOOKUP(B20,初始版本号!$A:$B,2,0),"未匹配软件")</f>
        <v>1.1.5</v>
      </c>
      <c r="N20" s="17">
        <f t="shared" si="0"/>
        <v>1.15</v>
      </c>
      <c r="O20" s="17">
        <f t="shared" si="1"/>
        <v>1.17</v>
      </c>
      <c r="P20" s="17" t="str">
        <f t="shared" si="2"/>
        <v>1.1.7</v>
      </c>
    </row>
    <row r="21" spans="1:16">
      <c r="A21" s="6">
        <v>20</v>
      </c>
      <c r="B21" s="6" t="s">
        <v>52</v>
      </c>
      <c r="C21" s="6" t="s">
        <v>60</v>
      </c>
      <c r="D21" s="7">
        <v>45908.9168055556</v>
      </c>
      <c r="E21" s="6" t="s">
        <v>13</v>
      </c>
      <c r="F21" s="6"/>
      <c r="G21" s="6" t="s">
        <v>48</v>
      </c>
      <c r="H21" s="6" t="s">
        <v>49</v>
      </c>
      <c r="I21" s="6" t="s">
        <v>16</v>
      </c>
      <c r="J21" s="6" t="s">
        <v>17</v>
      </c>
      <c r="K21" s="18" t="s">
        <v>59</v>
      </c>
      <c r="L21" s="17">
        <f>COUNTIF($B$2:B21,B21)-1</f>
        <v>2</v>
      </c>
      <c r="M21" s="17" t="str">
        <f>IFERROR(VLOOKUP(B21,初始版本号!$A:$B,2,0),"未匹配软件")</f>
        <v>1.1.8</v>
      </c>
      <c r="N21" s="17">
        <f t="shared" si="0"/>
        <v>1.18</v>
      </c>
      <c r="O21" s="17">
        <f t="shared" si="1"/>
        <v>1.2</v>
      </c>
      <c r="P21" s="17" t="str">
        <f t="shared" si="2"/>
        <v>1.2.0</v>
      </c>
    </row>
    <row r="22" spans="1:16">
      <c r="A22" s="6">
        <v>21</v>
      </c>
      <c r="B22" s="6" t="s">
        <v>53</v>
      </c>
      <c r="C22" s="6" t="s">
        <v>60</v>
      </c>
      <c r="D22" s="7">
        <v>45908.9168055556</v>
      </c>
      <c r="E22" s="6" t="s">
        <v>13</v>
      </c>
      <c r="F22" s="6"/>
      <c r="G22" s="6" t="s">
        <v>48</v>
      </c>
      <c r="H22" s="6" t="s">
        <v>49</v>
      </c>
      <c r="I22" s="6" t="s">
        <v>16</v>
      </c>
      <c r="J22" s="6" t="s">
        <v>17</v>
      </c>
      <c r="K22" s="18" t="s">
        <v>59</v>
      </c>
      <c r="L22" s="17">
        <f>COUNTIF($B$2:B22,B22)-1</f>
        <v>2</v>
      </c>
      <c r="M22" s="17" t="str">
        <f>IFERROR(VLOOKUP(B22,初始版本号!$A:$B,2,0),"未匹配软件")</f>
        <v>1.1.5</v>
      </c>
      <c r="N22" s="17">
        <f t="shared" si="0"/>
        <v>1.15</v>
      </c>
      <c r="O22" s="17">
        <f t="shared" si="1"/>
        <v>1.17</v>
      </c>
      <c r="P22" s="17" t="str">
        <f t="shared" si="2"/>
        <v>1.1.7</v>
      </c>
    </row>
    <row r="23" spans="1:16">
      <c r="A23" s="6">
        <v>22</v>
      </c>
      <c r="B23" s="6" t="s">
        <v>54</v>
      </c>
      <c r="C23" s="6" t="s">
        <v>60</v>
      </c>
      <c r="D23" s="7">
        <v>45908.9168055556</v>
      </c>
      <c r="E23" s="6" t="s">
        <v>13</v>
      </c>
      <c r="F23" s="6"/>
      <c r="G23" s="6" t="s">
        <v>48</v>
      </c>
      <c r="H23" s="6" t="s">
        <v>49</v>
      </c>
      <c r="I23" s="6" t="s">
        <v>16</v>
      </c>
      <c r="J23" s="6" t="s">
        <v>17</v>
      </c>
      <c r="K23" s="18" t="s">
        <v>59</v>
      </c>
      <c r="L23" s="17">
        <f>COUNTIF($B$2:B23,B23)-1</f>
        <v>2</v>
      </c>
      <c r="M23" s="17" t="str">
        <f>IFERROR(VLOOKUP(B23,初始版本号!$A:$B,2,0),"未匹配软件")</f>
        <v>1.1.5</v>
      </c>
      <c r="N23" s="17">
        <f t="shared" si="0"/>
        <v>1.15</v>
      </c>
      <c r="O23" s="17">
        <f t="shared" si="1"/>
        <v>1.17</v>
      </c>
      <c r="P23" s="17" t="str">
        <f t="shared" si="2"/>
        <v>1.1.7</v>
      </c>
    </row>
    <row r="24" spans="1:16">
      <c r="A24" s="8">
        <v>1</v>
      </c>
      <c r="B24" s="8" t="s">
        <v>61</v>
      </c>
      <c r="C24" s="8" t="s">
        <v>62</v>
      </c>
      <c r="D24" s="9">
        <v>45939.9168055556</v>
      </c>
      <c r="E24" s="8" t="s">
        <v>13</v>
      </c>
      <c r="F24" s="8"/>
      <c r="G24" s="8" t="s">
        <v>21</v>
      </c>
      <c r="H24" s="8" t="s">
        <v>42</v>
      </c>
      <c r="I24" s="8" t="s">
        <v>16</v>
      </c>
      <c r="J24" s="8" t="s">
        <v>17</v>
      </c>
      <c r="K24" s="8" t="s">
        <v>63</v>
      </c>
      <c r="L24" s="17">
        <f>COUNTIF($B$2:B24,B24)-1</f>
        <v>0</v>
      </c>
      <c r="M24" s="17" t="str">
        <f>IFERROR(VLOOKUP(B24,初始版本号!$A:$B,2,0),"未匹配软件")</f>
        <v>1.5.0</v>
      </c>
      <c r="N24" s="17">
        <f t="shared" si="0"/>
        <v>1.5</v>
      </c>
      <c r="O24" s="17">
        <f t="shared" si="1"/>
        <v>1.5</v>
      </c>
      <c r="P24" s="17" t="str">
        <f t="shared" si="2"/>
        <v>1.5.0</v>
      </c>
    </row>
    <row r="25" spans="1:16">
      <c r="A25" s="8">
        <v>2</v>
      </c>
      <c r="B25" s="8" t="s">
        <v>61</v>
      </c>
      <c r="C25" s="8" t="s">
        <v>64</v>
      </c>
      <c r="D25" s="9">
        <v>45943.9168055556</v>
      </c>
      <c r="E25" s="8" t="s">
        <v>13</v>
      </c>
      <c r="F25" s="8"/>
      <c r="G25" s="8" t="s">
        <v>21</v>
      </c>
      <c r="H25" s="8" t="s">
        <v>42</v>
      </c>
      <c r="I25" s="8" t="s">
        <v>16</v>
      </c>
      <c r="J25" s="8" t="s">
        <v>17</v>
      </c>
      <c r="K25" s="8" t="s">
        <v>65</v>
      </c>
      <c r="L25" s="17">
        <f>COUNTIF($B$2:B25,B25)-1</f>
        <v>1</v>
      </c>
      <c r="M25" s="17" t="str">
        <f>IFERROR(VLOOKUP(B25,初始版本号!$A:$B,2,0),"未匹配软件")</f>
        <v>1.5.0</v>
      </c>
      <c r="N25" s="17">
        <f t="shared" si="0"/>
        <v>1.5</v>
      </c>
      <c r="O25" s="17">
        <f t="shared" si="1"/>
        <v>1.51</v>
      </c>
      <c r="P25" s="17" t="str">
        <f t="shared" si="2"/>
        <v>1.5.1</v>
      </c>
    </row>
    <row r="26" spans="1:16">
      <c r="A26" s="8">
        <v>3</v>
      </c>
      <c r="B26" s="8" t="s">
        <v>66</v>
      </c>
      <c r="C26" s="8" t="s">
        <v>67</v>
      </c>
      <c r="D26" s="9">
        <v>45943.9168055556</v>
      </c>
      <c r="E26" s="8" t="s">
        <v>13</v>
      </c>
      <c r="F26" s="8"/>
      <c r="G26" s="8" t="s">
        <v>68</v>
      </c>
      <c r="H26" s="8" t="s">
        <v>69</v>
      </c>
      <c r="I26" s="8" t="s">
        <v>16</v>
      </c>
      <c r="J26" s="8" t="s">
        <v>17</v>
      </c>
      <c r="K26" s="8" t="s">
        <v>65</v>
      </c>
      <c r="L26" s="17">
        <f>COUNTIF($B$2:B26,B26)-1</f>
        <v>0</v>
      </c>
      <c r="M26" s="17" t="str">
        <f>IFERROR(VLOOKUP(B26,初始版本号!$A:$B,2,0),"未匹配软件")</f>
        <v>1.8.3</v>
      </c>
      <c r="N26" s="17">
        <f t="shared" si="0"/>
        <v>1.83</v>
      </c>
      <c r="O26" s="17">
        <f t="shared" si="1"/>
        <v>1.83</v>
      </c>
      <c r="P26" s="17" t="str">
        <f t="shared" si="2"/>
        <v>1.8.3</v>
      </c>
    </row>
    <row r="27" spans="1:16">
      <c r="A27" s="8">
        <v>4</v>
      </c>
      <c r="B27" s="8" t="s">
        <v>61</v>
      </c>
      <c r="C27" s="8" t="s">
        <v>20</v>
      </c>
      <c r="D27" s="9">
        <v>45946.9168055556</v>
      </c>
      <c r="E27" s="8" t="s">
        <v>13</v>
      </c>
      <c r="F27" s="8"/>
      <c r="G27" s="8" t="s">
        <v>21</v>
      </c>
      <c r="H27" s="8" t="s">
        <v>42</v>
      </c>
      <c r="I27" s="8" t="s">
        <v>16</v>
      </c>
      <c r="J27" s="8" t="s">
        <v>17</v>
      </c>
      <c r="K27" s="8" t="s">
        <v>65</v>
      </c>
      <c r="L27" s="17">
        <f>COUNTIF($B$2:B27,B27)-1</f>
        <v>2</v>
      </c>
      <c r="M27" s="17" t="str">
        <f>IFERROR(VLOOKUP(B27,初始版本号!$A:$B,2,0),"未匹配软件")</f>
        <v>1.5.0</v>
      </c>
      <c r="N27" s="17">
        <f t="shared" si="0"/>
        <v>1.5</v>
      </c>
      <c r="O27" s="17">
        <f t="shared" si="1"/>
        <v>1.52</v>
      </c>
      <c r="P27" s="17" t="str">
        <f t="shared" si="2"/>
        <v>1.5.2</v>
      </c>
    </row>
    <row r="28" spans="1:16">
      <c r="A28" s="8">
        <v>5</v>
      </c>
      <c r="B28" s="8" t="s">
        <v>46</v>
      </c>
      <c r="C28" s="8" t="s">
        <v>70</v>
      </c>
      <c r="D28" s="9">
        <v>45946.9168055556</v>
      </c>
      <c r="E28" s="8" t="s">
        <v>13</v>
      </c>
      <c r="F28" s="8"/>
      <c r="G28" s="8" t="s">
        <v>48</v>
      </c>
      <c r="H28" s="8" t="s">
        <v>49</v>
      </c>
      <c r="I28" s="8" t="s">
        <v>16</v>
      </c>
      <c r="J28" s="8" t="s">
        <v>17</v>
      </c>
      <c r="K28" s="8" t="s">
        <v>65</v>
      </c>
      <c r="L28" s="17">
        <f>COUNTIF($B$2:B28,B28)-1</f>
        <v>3</v>
      </c>
      <c r="M28" s="17" t="str">
        <f>IFERROR(VLOOKUP(B28,初始版本号!$A:$B,2,0),"未匹配软件")</f>
        <v>1.1.5</v>
      </c>
      <c r="N28" s="17">
        <f t="shared" si="0"/>
        <v>1.15</v>
      </c>
      <c r="O28" s="17">
        <f t="shared" si="1"/>
        <v>1.18</v>
      </c>
      <c r="P28" s="17" t="str">
        <f t="shared" si="2"/>
        <v>1.1.8</v>
      </c>
    </row>
    <row r="29" spans="1:16">
      <c r="A29" s="8">
        <v>6</v>
      </c>
      <c r="B29" s="8" t="s">
        <v>50</v>
      </c>
      <c r="C29" s="8" t="s">
        <v>70</v>
      </c>
      <c r="D29" s="9">
        <v>45946.9168055556</v>
      </c>
      <c r="E29" s="8" t="s">
        <v>13</v>
      </c>
      <c r="F29" s="8"/>
      <c r="G29" s="8" t="s">
        <v>48</v>
      </c>
      <c r="H29" s="8" t="s">
        <v>49</v>
      </c>
      <c r="I29" s="8" t="s">
        <v>16</v>
      </c>
      <c r="J29" s="8" t="s">
        <v>17</v>
      </c>
      <c r="K29" s="8" t="s">
        <v>65</v>
      </c>
      <c r="L29" s="17">
        <f>COUNTIF($B$2:B29,B29)-1</f>
        <v>3</v>
      </c>
      <c r="M29" s="17" t="str">
        <f>IFERROR(VLOOKUP(B29,初始版本号!$A:$B,2,0),"未匹配软件")</f>
        <v>1.1.5</v>
      </c>
      <c r="N29" s="17">
        <f t="shared" si="0"/>
        <v>1.15</v>
      </c>
      <c r="O29" s="17">
        <f t="shared" si="1"/>
        <v>1.18</v>
      </c>
      <c r="P29" s="17" t="str">
        <f t="shared" si="2"/>
        <v>1.1.8</v>
      </c>
    </row>
    <row r="30" spans="1:16">
      <c r="A30" s="8">
        <v>7</v>
      </c>
      <c r="B30" s="8" t="s">
        <v>51</v>
      </c>
      <c r="C30" s="8" t="s">
        <v>70</v>
      </c>
      <c r="D30" s="9">
        <v>45946.9168055556</v>
      </c>
      <c r="E30" s="8" t="s">
        <v>13</v>
      </c>
      <c r="F30" s="8"/>
      <c r="G30" s="8" t="s">
        <v>48</v>
      </c>
      <c r="H30" s="8" t="s">
        <v>49</v>
      </c>
      <c r="I30" s="8" t="s">
        <v>16</v>
      </c>
      <c r="J30" s="8" t="s">
        <v>17</v>
      </c>
      <c r="K30" s="8" t="s">
        <v>65</v>
      </c>
      <c r="L30" s="17">
        <f>COUNTIF($B$2:B30,B30)-1</f>
        <v>3</v>
      </c>
      <c r="M30" s="17" t="str">
        <f>IFERROR(VLOOKUP(B30,初始版本号!$A:$B,2,0),"未匹配软件")</f>
        <v>1.1.5</v>
      </c>
      <c r="N30" s="17">
        <f t="shared" si="0"/>
        <v>1.15</v>
      </c>
      <c r="O30" s="17">
        <f t="shared" si="1"/>
        <v>1.18</v>
      </c>
      <c r="P30" s="17" t="str">
        <f t="shared" si="2"/>
        <v>1.1.8</v>
      </c>
    </row>
    <row r="31" spans="1:16">
      <c r="A31" s="8">
        <v>8</v>
      </c>
      <c r="B31" s="8" t="s">
        <v>52</v>
      </c>
      <c r="C31" s="8" t="s">
        <v>70</v>
      </c>
      <c r="D31" s="9">
        <v>45946.9168055556</v>
      </c>
      <c r="E31" s="8" t="s">
        <v>13</v>
      </c>
      <c r="F31" s="8"/>
      <c r="G31" s="8" t="s">
        <v>48</v>
      </c>
      <c r="H31" s="8" t="s">
        <v>49</v>
      </c>
      <c r="I31" s="8" t="s">
        <v>16</v>
      </c>
      <c r="J31" s="8" t="s">
        <v>17</v>
      </c>
      <c r="K31" s="8" t="s">
        <v>65</v>
      </c>
      <c r="L31" s="17">
        <f>COUNTIF($B$2:B31,B31)-1</f>
        <v>3</v>
      </c>
      <c r="M31" s="17" t="str">
        <f>IFERROR(VLOOKUP(B31,初始版本号!$A:$B,2,0),"未匹配软件")</f>
        <v>1.1.8</v>
      </c>
      <c r="N31" s="17">
        <f t="shared" si="0"/>
        <v>1.18</v>
      </c>
      <c r="O31" s="17">
        <f t="shared" si="1"/>
        <v>1.21</v>
      </c>
      <c r="P31" s="17" t="str">
        <f t="shared" si="2"/>
        <v>1.2.1</v>
      </c>
    </row>
    <row r="32" spans="1:16">
      <c r="A32" s="8">
        <v>9</v>
      </c>
      <c r="B32" s="8" t="s">
        <v>53</v>
      </c>
      <c r="C32" s="8" t="s">
        <v>70</v>
      </c>
      <c r="D32" s="9">
        <v>45946.9168055556</v>
      </c>
      <c r="E32" s="8" t="s">
        <v>13</v>
      </c>
      <c r="F32" s="8"/>
      <c r="G32" s="8" t="s">
        <v>48</v>
      </c>
      <c r="H32" s="8" t="s">
        <v>49</v>
      </c>
      <c r="I32" s="8" t="s">
        <v>16</v>
      </c>
      <c r="J32" s="8" t="s">
        <v>17</v>
      </c>
      <c r="K32" s="8" t="s">
        <v>65</v>
      </c>
      <c r="L32" s="17">
        <f>COUNTIF($B$2:B32,B32)-1</f>
        <v>3</v>
      </c>
      <c r="M32" s="17" t="str">
        <f>IFERROR(VLOOKUP(B32,初始版本号!$A:$B,2,0),"未匹配软件")</f>
        <v>1.1.5</v>
      </c>
      <c r="N32" s="17">
        <f t="shared" si="0"/>
        <v>1.15</v>
      </c>
      <c r="O32" s="17">
        <f t="shared" si="1"/>
        <v>1.18</v>
      </c>
      <c r="P32" s="17" t="str">
        <f t="shared" si="2"/>
        <v>1.1.8</v>
      </c>
    </row>
    <row r="33" spans="1:16">
      <c r="A33" s="8">
        <v>10</v>
      </c>
      <c r="B33" s="8" t="s">
        <v>54</v>
      </c>
      <c r="C33" s="8" t="s">
        <v>70</v>
      </c>
      <c r="D33" s="9">
        <v>45946.9168055556</v>
      </c>
      <c r="E33" s="8" t="s">
        <v>13</v>
      </c>
      <c r="F33" s="8"/>
      <c r="G33" s="8" t="s">
        <v>48</v>
      </c>
      <c r="H33" s="8" t="s">
        <v>49</v>
      </c>
      <c r="I33" s="8" t="s">
        <v>16</v>
      </c>
      <c r="J33" s="8" t="s">
        <v>17</v>
      </c>
      <c r="K33" s="8" t="s">
        <v>65</v>
      </c>
      <c r="L33" s="17">
        <f>COUNTIF($B$2:B33,B33)-1</f>
        <v>3</v>
      </c>
      <c r="M33" s="17" t="str">
        <f>IFERROR(VLOOKUP(B33,初始版本号!$A:$B,2,0),"未匹配软件")</f>
        <v>1.1.5</v>
      </c>
      <c r="N33" s="17">
        <f t="shared" si="0"/>
        <v>1.15</v>
      </c>
      <c r="O33" s="17">
        <f t="shared" si="1"/>
        <v>1.18</v>
      </c>
      <c r="P33" s="17" t="str">
        <f t="shared" si="2"/>
        <v>1.1.8</v>
      </c>
    </row>
    <row r="34" spans="1:16">
      <c r="A34" s="8">
        <v>11</v>
      </c>
      <c r="B34" s="8" t="s">
        <v>61</v>
      </c>
      <c r="C34" s="8" t="s">
        <v>25</v>
      </c>
      <c r="D34" s="9">
        <v>45957.9168055556</v>
      </c>
      <c r="E34" s="8" t="s">
        <v>13</v>
      </c>
      <c r="F34" s="8"/>
      <c r="G34" s="8" t="s">
        <v>21</v>
      </c>
      <c r="H34" s="8" t="s">
        <v>42</v>
      </c>
      <c r="I34" s="8" t="s">
        <v>16</v>
      </c>
      <c r="J34" s="8" t="s">
        <v>17</v>
      </c>
      <c r="K34" s="8" t="s">
        <v>71</v>
      </c>
      <c r="L34" s="17">
        <f>COUNTIF($B$2:B34,B34)-1</f>
        <v>3</v>
      </c>
      <c r="M34" s="17" t="str">
        <f>IFERROR(VLOOKUP(B34,初始版本号!$A:$B,2,0),"未匹配软件")</f>
        <v>1.5.0</v>
      </c>
      <c r="N34" s="17">
        <f t="shared" si="0"/>
        <v>1.5</v>
      </c>
      <c r="O34" s="17">
        <f t="shared" si="1"/>
        <v>1.53</v>
      </c>
      <c r="P34" s="17" t="str">
        <f t="shared" si="2"/>
        <v>1.5.3</v>
      </c>
    </row>
    <row r="35" spans="1:16">
      <c r="A35" s="8">
        <v>12</v>
      </c>
      <c r="B35" s="8" t="s">
        <v>61</v>
      </c>
      <c r="C35" s="8" t="s">
        <v>30</v>
      </c>
      <c r="D35" s="9">
        <v>45985.9168055556</v>
      </c>
      <c r="E35" s="8" t="s">
        <v>13</v>
      </c>
      <c r="F35" s="8"/>
      <c r="G35" s="8" t="s">
        <v>21</v>
      </c>
      <c r="H35" s="8" t="s">
        <v>42</v>
      </c>
      <c r="I35" s="8" t="s">
        <v>16</v>
      </c>
      <c r="J35" s="8" t="s">
        <v>17</v>
      </c>
      <c r="K35" s="8" t="s">
        <v>72</v>
      </c>
      <c r="L35" s="17">
        <f>COUNTIF($B$2:B35,B35)-1</f>
        <v>4</v>
      </c>
      <c r="M35" s="17" t="str">
        <f>IFERROR(VLOOKUP(B35,初始版本号!$A:$B,2,0),"未匹配软件")</f>
        <v>1.5.0</v>
      </c>
      <c r="N35" s="17">
        <f t="shared" si="0"/>
        <v>1.5</v>
      </c>
      <c r="O35" s="17">
        <f t="shared" si="1"/>
        <v>1.54</v>
      </c>
      <c r="P35" s="17" t="str">
        <f t="shared" si="2"/>
        <v>1.5.4</v>
      </c>
    </row>
    <row r="36" spans="1:16">
      <c r="A36" s="8">
        <v>13</v>
      </c>
      <c r="B36" s="8" t="s">
        <v>61</v>
      </c>
      <c r="C36" s="8" t="s">
        <v>33</v>
      </c>
      <c r="D36" s="9">
        <v>45995.9168055556</v>
      </c>
      <c r="E36" s="8" t="s">
        <v>13</v>
      </c>
      <c r="F36" s="8"/>
      <c r="G36" s="8" t="s">
        <v>21</v>
      </c>
      <c r="H36" s="8" t="s">
        <v>42</v>
      </c>
      <c r="I36" s="8" t="s">
        <v>16</v>
      </c>
      <c r="J36" s="8" t="s">
        <v>17</v>
      </c>
      <c r="K36" s="8" t="s">
        <v>73</v>
      </c>
      <c r="L36" s="17">
        <f>COUNTIF($B$2:B36,B36)-1</f>
        <v>5</v>
      </c>
      <c r="M36" s="17" t="str">
        <f>IFERROR(VLOOKUP(B36,初始版本号!$A:$B,2,0),"未匹配软件")</f>
        <v>1.5.0</v>
      </c>
      <c r="N36" s="17">
        <f t="shared" si="0"/>
        <v>1.5</v>
      </c>
      <c r="O36" s="17">
        <f t="shared" si="1"/>
        <v>1.55</v>
      </c>
      <c r="P36" s="17" t="str">
        <f t="shared" si="2"/>
        <v>1.5.5</v>
      </c>
    </row>
    <row r="37" spans="1:16">
      <c r="A37" s="8">
        <v>14</v>
      </c>
      <c r="B37" s="8" t="s">
        <v>74</v>
      </c>
      <c r="C37" s="8" t="s">
        <v>75</v>
      </c>
      <c r="D37" s="9">
        <v>46007.9168055556</v>
      </c>
      <c r="E37" s="8" t="s">
        <v>76</v>
      </c>
      <c r="F37" s="8"/>
      <c r="G37" s="8" t="s">
        <v>77</v>
      </c>
      <c r="H37" s="8" t="s">
        <v>78</v>
      </c>
      <c r="I37" s="8" t="s">
        <v>16</v>
      </c>
      <c r="J37" s="8" t="s">
        <v>17</v>
      </c>
      <c r="K37" s="8" t="s">
        <v>73</v>
      </c>
      <c r="L37" s="17">
        <f>COUNTIF($B$2:B37,B37)-1</f>
        <v>0</v>
      </c>
      <c r="M37" s="17" t="str">
        <f>IFERROR(VLOOKUP(B37,初始版本号!$A:$B,2,0),"未匹配软件")</f>
        <v>2.5.2</v>
      </c>
      <c r="N37" s="17">
        <f t="shared" si="0"/>
        <v>2.52</v>
      </c>
      <c r="O37" s="17">
        <f t="shared" si="1"/>
        <v>2.52</v>
      </c>
      <c r="P37" s="17" t="str">
        <f t="shared" si="2"/>
        <v>2.5.2</v>
      </c>
    </row>
    <row r="38" ht="17" spans="1:16">
      <c r="A38" s="10">
        <v>1</v>
      </c>
      <c r="B38" s="11" t="s">
        <v>19</v>
      </c>
      <c r="C38" s="11" t="str">
        <f>INT(O38)&amp;"."&amp;INT(MOD(O38,1)*10)&amp;"."&amp;MOD(INT(MOD(O38,1)*100),10)</f>
        <v>1.5.0</v>
      </c>
      <c r="D38" s="12">
        <v>42377.9166666667</v>
      </c>
      <c r="E38" s="10" t="s">
        <v>13</v>
      </c>
      <c r="F38" s="10"/>
      <c r="G38" s="10" t="str">
        <f>VLOOKUP(B38,软件名称和目标IP!$B$1:$C$99,2,FALSE)</f>
        <v>10.44.225.197、10.43.118.48、10.43.118.47、10.44.225.30、10.44.225.31、10.44.225.33</v>
      </c>
      <c r="H38" s="10" t="str">
        <f>VLOOKUP(B38,软件名称和目标IP!$B$1:$D$99,3,FALSE)</f>
        <v>姚翔</v>
      </c>
      <c r="I38" s="10" t="s">
        <v>16</v>
      </c>
      <c r="J38" s="10" t="s">
        <v>17</v>
      </c>
      <c r="K38" s="10" t="str">
        <f t="shared" ref="K38:K54" si="3">"监控综合应用平台2026年"&amp;MONTH(D38)&amp;"月"&amp;DAY(D38)&amp;"日功能升级申请"</f>
        <v>监控综合应用平台2026年1月8日功能升级申请</v>
      </c>
      <c r="L38" s="19">
        <f>COUNTIF($B$2:B38,B38)-1</f>
        <v>4</v>
      </c>
      <c r="M38" s="19" t="str">
        <f>IFERROR(VLOOKUP(B38,初始版本号!$A:$B,2,0),"未匹配软件")</f>
        <v>1.4.6</v>
      </c>
      <c r="N38" s="19">
        <f t="shared" si="0"/>
        <v>1.46</v>
      </c>
      <c r="O38" s="19">
        <f t="shared" si="1"/>
        <v>1.5</v>
      </c>
      <c r="P38" s="19" t="str">
        <f t="shared" si="2"/>
        <v>1.5.0</v>
      </c>
    </row>
    <row r="39" ht="17" spans="1:16">
      <c r="A39" s="10">
        <v>2</v>
      </c>
      <c r="B39" s="10" t="s">
        <v>79</v>
      </c>
      <c r="C39" s="11" t="str">
        <f t="shared" ref="C39:C54" si="4">INT(O39)&amp;"."&amp;INT(MOD(O39,1)*10)&amp;"."&amp;MOD(INT(MOD(O39,1)*100),10)</f>
        <v>1.1.7</v>
      </c>
      <c r="D39" s="12">
        <v>42377.9166666667</v>
      </c>
      <c r="E39" s="10" t="s">
        <v>13</v>
      </c>
      <c r="F39" s="10"/>
      <c r="G39" s="10" t="str">
        <f>VLOOKUP(B39,软件名称和目标IP!$B$1:$C$99,2,FALSE)</f>
        <v>10.43.52.51、10.43.52.52、10.43.52.53、10.43.52.54</v>
      </c>
      <c r="H39" s="10" t="str">
        <f>VLOOKUP(B39,软件名称和目标IP!$B$1:$D$99,3,FALSE)</f>
        <v>高胜永</v>
      </c>
      <c r="I39" s="10" t="s">
        <v>16</v>
      </c>
      <c r="J39" s="10" t="s">
        <v>17</v>
      </c>
      <c r="K39" s="10" t="str">
        <f t="shared" si="3"/>
        <v>监控综合应用平台2026年1月8日功能升级申请</v>
      </c>
      <c r="L39" s="19">
        <f>COUNTIF($B$2:B39,B39)-1</f>
        <v>0</v>
      </c>
      <c r="M39" s="19" t="str">
        <f>IFERROR(VLOOKUP(B39,初始版本号!$A:$B,2,0),"未匹配软件")</f>
        <v>1.1.7</v>
      </c>
      <c r="N39" s="19">
        <f t="shared" si="0"/>
        <v>1.17</v>
      </c>
      <c r="O39" s="19">
        <f t="shared" si="1"/>
        <v>1.17</v>
      </c>
      <c r="P39" s="19" t="str">
        <f t="shared" si="2"/>
        <v>1.1.7</v>
      </c>
    </row>
    <row r="40" ht="17" spans="1:16">
      <c r="A40" s="10">
        <v>3</v>
      </c>
      <c r="B40" s="10" t="s">
        <v>11</v>
      </c>
      <c r="C40" s="11" t="str">
        <f t="shared" si="4"/>
        <v>1.1.7</v>
      </c>
      <c r="D40" s="12">
        <v>42377.9166666667</v>
      </c>
      <c r="E40" s="10" t="s">
        <v>13</v>
      </c>
      <c r="F40" s="10"/>
      <c r="G40" s="10" t="str">
        <f>VLOOKUP(B40,软件名称和目标IP!$B$1:$C$99,2,FALSE)</f>
        <v>10.46.102.85、10.46.102.86</v>
      </c>
      <c r="H40" s="10" t="str">
        <f>VLOOKUP(B40,软件名称和目标IP!$B$1:$D$99,3,FALSE)</f>
        <v>李金山</v>
      </c>
      <c r="I40" s="10" t="s">
        <v>16</v>
      </c>
      <c r="J40" s="10" t="s">
        <v>17</v>
      </c>
      <c r="K40" s="10" t="str">
        <f t="shared" si="3"/>
        <v>监控综合应用平台2026年1月8日功能升级申请</v>
      </c>
      <c r="L40" s="19">
        <f>COUNTIF($B$2:B40,B40)-1</f>
        <v>0</v>
      </c>
      <c r="M40" s="19" t="str">
        <f>IFERROR(VLOOKUP(B40,初始版本号!$A:$B,2,0),"未匹配软件")</f>
        <v>1.1.7</v>
      </c>
      <c r="N40" s="19">
        <f t="shared" si="0"/>
        <v>1.17</v>
      </c>
      <c r="O40" s="19">
        <f t="shared" si="1"/>
        <v>1.17</v>
      </c>
      <c r="P40" s="19" t="str">
        <f t="shared" si="2"/>
        <v>1.1.7</v>
      </c>
    </row>
    <row r="41" ht="17" spans="1:16">
      <c r="A41" s="10">
        <v>4</v>
      </c>
      <c r="B41" s="10" t="s">
        <v>11</v>
      </c>
      <c r="C41" s="11" t="str">
        <f t="shared" si="4"/>
        <v>1.1.8</v>
      </c>
      <c r="D41" s="12">
        <v>42388.9166666667</v>
      </c>
      <c r="E41" s="10" t="s">
        <v>13</v>
      </c>
      <c r="F41" s="10"/>
      <c r="G41" s="10" t="str">
        <f>VLOOKUP(B41,软件名称和目标IP!$B$1:$C$99,2,FALSE)</f>
        <v>10.46.102.85、10.46.102.86</v>
      </c>
      <c r="H41" s="10" t="str">
        <f>VLOOKUP(B41,软件名称和目标IP!$B$1:$D$99,3,FALSE)</f>
        <v>李金山</v>
      </c>
      <c r="I41" s="10" t="s">
        <v>16</v>
      </c>
      <c r="J41" s="10" t="s">
        <v>17</v>
      </c>
      <c r="K41" s="10" t="str">
        <f t="shared" si="3"/>
        <v>监控综合应用平台2026年1月19日功能升级申请</v>
      </c>
      <c r="L41" s="19">
        <f>COUNTIF($B$2:B41,B41)-1</f>
        <v>1</v>
      </c>
      <c r="M41" s="19" t="str">
        <f>IFERROR(VLOOKUP(B41,初始版本号!$A:$B,2,0),"未匹配软件")</f>
        <v>1.1.7</v>
      </c>
      <c r="N41" s="19">
        <f t="shared" si="0"/>
        <v>1.17</v>
      </c>
      <c r="O41" s="19">
        <f t="shared" si="1"/>
        <v>1.18</v>
      </c>
      <c r="P41" s="19" t="str">
        <f t="shared" si="2"/>
        <v>1.1.8</v>
      </c>
    </row>
    <row r="42" ht="17" spans="1:16">
      <c r="A42" s="10">
        <v>5</v>
      </c>
      <c r="B42" s="10" t="s">
        <v>80</v>
      </c>
      <c r="C42" s="11" t="str">
        <f t="shared" si="4"/>
        <v>1.1.1</v>
      </c>
      <c r="D42" s="12">
        <v>42388.9166666667</v>
      </c>
      <c r="E42" s="10" t="s">
        <v>13</v>
      </c>
      <c r="F42" s="10"/>
      <c r="G42" s="10" t="str">
        <f>VLOOKUP(B42,软件名称和目标IP!$B$1:$C$99,2,FALSE)</f>
        <v>10.43.52.58、10.43.52.59、10.43.149.199</v>
      </c>
      <c r="H42" s="10" t="str">
        <f>VLOOKUP(B42,软件名称和目标IP!$B$1:$D$99,3,FALSE)</f>
        <v>张保全</v>
      </c>
      <c r="I42" s="10" t="s">
        <v>16</v>
      </c>
      <c r="J42" s="10" t="s">
        <v>17</v>
      </c>
      <c r="K42" s="10" t="str">
        <f t="shared" si="3"/>
        <v>监控综合应用平台2026年1月19日功能升级申请</v>
      </c>
      <c r="L42" s="19">
        <f>COUNTIF($B$2:B42,B42)-1</f>
        <v>0</v>
      </c>
      <c r="M42" s="19" t="str">
        <f>IFERROR(VLOOKUP(B42,初始版本号!$A:$B,2,0),"未匹配软件")</f>
        <v>1.1.1</v>
      </c>
      <c r="N42" s="19">
        <f t="shared" si="0"/>
        <v>1.11</v>
      </c>
      <c r="O42" s="19">
        <f t="shared" si="1"/>
        <v>1.11</v>
      </c>
      <c r="P42" s="19" t="str">
        <f t="shared" si="2"/>
        <v>1.1.1</v>
      </c>
    </row>
    <row r="43" ht="17" spans="1:16">
      <c r="A43" s="10">
        <v>6</v>
      </c>
      <c r="B43" s="10" t="s">
        <v>81</v>
      </c>
      <c r="C43" s="11" t="str">
        <f t="shared" si="4"/>
        <v>1.1.1</v>
      </c>
      <c r="D43" s="12">
        <v>42391.9166666667</v>
      </c>
      <c r="E43" s="10" t="s">
        <v>13</v>
      </c>
      <c r="F43" s="10"/>
      <c r="G43" s="10" t="str">
        <f>VLOOKUP(B43,软件名称和目标IP!$B$1:$C$99,2,FALSE)</f>
        <v>10.44.225.30、10.44.225.31、10.44.225.33、10.46.102.83、10.46.102.84</v>
      </c>
      <c r="H43" s="10" t="str">
        <f>VLOOKUP(B43,软件名称和目标IP!$B$1:$D$99,3,FALSE)</f>
        <v>金文辉</v>
      </c>
      <c r="I43" s="10" t="s">
        <v>16</v>
      </c>
      <c r="J43" s="10" t="s">
        <v>17</v>
      </c>
      <c r="K43" s="10" t="str">
        <f t="shared" si="3"/>
        <v>监控综合应用平台2026年1月22日功能升级申请</v>
      </c>
      <c r="L43" s="19">
        <f>COUNTIF($B$2:B43,B43)-1</f>
        <v>0</v>
      </c>
      <c r="M43" s="19" t="str">
        <f>IFERROR(VLOOKUP(B43,初始版本号!$A:$B,2,0),"未匹配软件")</f>
        <v>1.1.1</v>
      </c>
      <c r="N43" s="19">
        <f t="shared" si="0"/>
        <v>1.11</v>
      </c>
      <c r="O43" s="19">
        <f t="shared" si="1"/>
        <v>1.11</v>
      </c>
      <c r="P43" s="19" t="str">
        <f t="shared" si="2"/>
        <v>1.1.1</v>
      </c>
    </row>
    <row r="44" ht="17" spans="1:16">
      <c r="A44" s="10">
        <v>7</v>
      </c>
      <c r="B44" s="10" t="s">
        <v>46</v>
      </c>
      <c r="C44" s="11" t="str">
        <f t="shared" si="4"/>
        <v>1.1.9</v>
      </c>
      <c r="D44" s="12">
        <v>42391.9166666667</v>
      </c>
      <c r="E44" s="10" t="s">
        <v>13</v>
      </c>
      <c r="F44" s="10"/>
      <c r="G44" s="10" t="str">
        <f>VLOOKUP(B44,软件名称和目标IP!$B$1:$C$99,2,FALSE)</f>
        <v>10.43.118.45、10.43.118.46、10.44.225.116</v>
      </c>
      <c r="H44" s="10" t="str">
        <f>VLOOKUP(B44,软件名称和目标IP!$B$1:$D$99,3,FALSE)</f>
        <v>高胜永</v>
      </c>
      <c r="I44" s="10" t="s">
        <v>16</v>
      </c>
      <c r="J44" s="10" t="s">
        <v>17</v>
      </c>
      <c r="K44" s="10" t="str">
        <f t="shared" si="3"/>
        <v>监控综合应用平台2026年1月22日功能升级申请</v>
      </c>
      <c r="L44" s="19">
        <f>COUNTIF($B$2:B44,B44)-1</f>
        <v>4</v>
      </c>
      <c r="M44" s="19" t="str">
        <f>IFERROR(VLOOKUP(B44,初始版本号!$A:$B,2,0),"未匹配软件")</f>
        <v>1.1.5</v>
      </c>
      <c r="N44" s="19">
        <f t="shared" si="0"/>
        <v>1.15</v>
      </c>
      <c r="O44" s="19">
        <f t="shared" si="1"/>
        <v>1.19</v>
      </c>
      <c r="P44" s="19" t="str">
        <f t="shared" si="2"/>
        <v>1.1.9</v>
      </c>
    </row>
    <row r="45" ht="17" spans="1:16">
      <c r="A45" s="10">
        <v>8</v>
      </c>
      <c r="B45" s="11" t="s">
        <v>19</v>
      </c>
      <c r="C45" s="11" t="str">
        <f t="shared" si="4"/>
        <v>1.5.1</v>
      </c>
      <c r="D45" s="12">
        <v>42391.9166666667</v>
      </c>
      <c r="E45" s="10" t="s">
        <v>13</v>
      </c>
      <c r="F45" s="10"/>
      <c r="G45" s="10" t="str">
        <f>VLOOKUP(B45,软件名称和目标IP!$B$1:$C$99,2,FALSE)</f>
        <v>10.44.225.197、10.43.118.48、10.43.118.47、10.44.225.30、10.44.225.31、10.44.225.33</v>
      </c>
      <c r="H45" s="10" t="str">
        <f>VLOOKUP(B45,软件名称和目标IP!$B$1:$D$99,3,FALSE)</f>
        <v>姚翔</v>
      </c>
      <c r="I45" s="10" t="s">
        <v>16</v>
      </c>
      <c r="J45" s="10" t="s">
        <v>17</v>
      </c>
      <c r="K45" s="10" t="str">
        <f t="shared" si="3"/>
        <v>监控综合应用平台2026年1月22日功能升级申请</v>
      </c>
      <c r="L45" s="19">
        <f>COUNTIF($B$2:B45,B45)-1</f>
        <v>5</v>
      </c>
      <c r="M45" s="19" t="str">
        <f>IFERROR(VLOOKUP(B45,初始版本号!$A:$B,2,0),"未匹配软件")</f>
        <v>1.4.6</v>
      </c>
      <c r="N45" s="19">
        <f t="shared" si="0"/>
        <v>1.46</v>
      </c>
      <c r="O45" s="19">
        <f t="shared" si="1"/>
        <v>1.51</v>
      </c>
      <c r="P45" s="19" t="str">
        <f t="shared" si="2"/>
        <v>1.5.1</v>
      </c>
    </row>
    <row r="46" ht="17" spans="1:16">
      <c r="A46" s="10">
        <v>9</v>
      </c>
      <c r="B46" s="10" t="s">
        <v>82</v>
      </c>
      <c r="C46" s="11" t="str">
        <f t="shared" si="4"/>
        <v>1.1.1</v>
      </c>
      <c r="D46" s="12">
        <v>42391.9166666667</v>
      </c>
      <c r="E46" s="10" t="s">
        <v>13</v>
      </c>
      <c r="F46" s="10"/>
      <c r="G46" s="10" t="str">
        <f>VLOOKUP(B46,软件名称和目标IP!$B$1:$C$99,2,FALSE)</f>
        <v>10.44.225.32、10.44.225.39、10.46.102.90、10.46.102.91、10.46.102.92</v>
      </c>
      <c r="H46" s="10" t="str">
        <f>VLOOKUP(B46,软件名称和目标IP!$B$1:$D$99,3,FALSE)</f>
        <v>金文辉</v>
      </c>
      <c r="I46" s="10" t="s">
        <v>16</v>
      </c>
      <c r="J46" s="10" t="s">
        <v>17</v>
      </c>
      <c r="K46" s="10" t="str">
        <f t="shared" si="3"/>
        <v>监控综合应用平台2026年1月22日功能升级申请</v>
      </c>
      <c r="L46" s="19">
        <f>COUNTIF($B$2:B46,B46)-1</f>
        <v>0</v>
      </c>
      <c r="M46" s="19" t="str">
        <f>IFERROR(VLOOKUP(B46,初始版本号!$A:$B,2,0),"未匹配软件")</f>
        <v>1.1.1</v>
      </c>
      <c r="N46" s="19">
        <f t="shared" si="0"/>
        <v>1.11</v>
      </c>
      <c r="O46" s="19">
        <f t="shared" si="1"/>
        <v>1.11</v>
      </c>
      <c r="P46" s="19" t="str">
        <f t="shared" si="2"/>
        <v>1.1.1</v>
      </c>
    </row>
    <row r="47" ht="17" spans="1:16">
      <c r="A47" s="10">
        <v>10</v>
      </c>
      <c r="B47" s="10" t="s">
        <v>79</v>
      </c>
      <c r="C47" s="11" t="str">
        <f t="shared" si="4"/>
        <v>1.1.8</v>
      </c>
      <c r="D47" s="12">
        <v>42391.9166666667</v>
      </c>
      <c r="E47" s="10" t="s">
        <v>13</v>
      </c>
      <c r="F47" s="10"/>
      <c r="G47" s="10" t="str">
        <f>VLOOKUP(B47,软件名称和目标IP!$B$1:$C$99,2,FALSE)</f>
        <v>10.43.52.51、10.43.52.52、10.43.52.53、10.43.52.54</v>
      </c>
      <c r="H47" s="10" t="str">
        <f>VLOOKUP(B47,软件名称和目标IP!$B$1:$D$99,3,FALSE)</f>
        <v>高胜永</v>
      </c>
      <c r="I47" s="10" t="s">
        <v>16</v>
      </c>
      <c r="J47" s="10" t="s">
        <v>17</v>
      </c>
      <c r="K47" s="10" t="str">
        <f t="shared" si="3"/>
        <v>监控综合应用平台2026年1月22日功能升级申请</v>
      </c>
      <c r="L47" s="19">
        <f>COUNTIF($B$2:B47,B47)-1</f>
        <v>1</v>
      </c>
      <c r="M47" s="19" t="str">
        <f>IFERROR(VLOOKUP(B47,初始版本号!$A:$B,2,0),"未匹配软件")</f>
        <v>1.1.7</v>
      </c>
      <c r="N47" s="19">
        <f t="shared" si="0"/>
        <v>1.17</v>
      </c>
      <c r="O47" s="19">
        <f t="shared" si="1"/>
        <v>1.18</v>
      </c>
      <c r="P47" s="19" t="str">
        <f t="shared" si="2"/>
        <v>1.1.8</v>
      </c>
    </row>
    <row r="48" ht="17" spans="1:16">
      <c r="A48" s="10">
        <v>11</v>
      </c>
      <c r="B48" s="10" t="s">
        <v>11</v>
      </c>
      <c r="C48" s="11" t="str">
        <f t="shared" si="4"/>
        <v>1.1.9</v>
      </c>
      <c r="D48" s="12">
        <v>42391.9166666667</v>
      </c>
      <c r="E48" s="10" t="s">
        <v>13</v>
      </c>
      <c r="F48" s="10"/>
      <c r="G48" s="10" t="str">
        <f>VLOOKUP(B48,软件名称和目标IP!$B$1:$C$99,2,FALSE)</f>
        <v>10.46.102.85、10.46.102.86</v>
      </c>
      <c r="H48" s="10" t="str">
        <f>VLOOKUP(B48,软件名称和目标IP!$B$1:$D$99,3,FALSE)</f>
        <v>李金山</v>
      </c>
      <c r="I48" s="10" t="s">
        <v>16</v>
      </c>
      <c r="J48" s="10" t="s">
        <v>17</v>
      </c>
      <c r="K48" s="10" t="str">
        <f t="shared" si="3"/>
        <v>监控综合应用平台2026年1月22日功能升级申请</v>
      </c>
      <c r="L48" s="19">
        <f>COUNTIF($B$2:B48,B48)-1</f>
        <v>2</v>
      </c>
      <c r="M48" s="19" t="str">
        <f>IFERROR(VLOOKUP(B48,初始版本号!$A:$B,2,0),"未匹配软件")</f>
        <v>1.1.7</v>
      </c>
      <c r="N48" s="19">
        <f t="shared" si="0"/>
        <v>1.17</v>
      </c>
      <c r="O48" s="19">
        <f t="shared" si="1"/>
        <v>1.19</v>
      </c>
      <c r="P48" s="19" t="str">
        <f t="shared" si="2"/>
        <v>1.1.9</v>
      </c>
    </row>
    <row r="49" ht="17" spans="1:16">
      <c r="A49" s="10">
        <v>12</v>
      </c>
      <c r="B49" s="10" t="s">
        <v>11</v>
      </c>
      <c r="C49" s="11" t="str">
        <f t="shared" si="4"/>
        <v>1.2.0</v>
      </c>
      <c r="D49" s="12">
        <v>42402.9166666667</v>
      </c>
      <c r="E49" s="10" t="s">
        <v>13</v>
      </c>
      <c r="F49" s="10"/>
      <c r="G49" s="10" t="str">
        <f>VLOOKUP(B49,软件名称和目标IP!$B$1:$C$99,2,FALSE)</f>
        <v>10.46.102.85、10.46.102.86</v>
      </c>
      <c r="H49" s="10" t="str">
        <f>VLOOKUP(B49,软件名称和目标IP!$B$1:$D$99,3,FALSE)</f>
        <v>李金山</v>
      </c>
      <c r="I49" s="10" t="s">
        <v>16</v>
      </c>
      <c r="J49" s="10" t="s">
        <v>17</v>
      </c>
      <c r="K49" s="10" t="str">
        <f t="shared" si="3"/>
        <v>监控综合应用平台2026年2月2日功能升级申请</v>
      </c>
      <c r="L49" s="19">
        <f>COUNTIF($B$2:B49,B49)-1</f>
        <v>3</v>
      </c>
      <c r="M49" s="19" t="str">
        <f>IFERROR(VLOOKUP(B49,初始版本号!$A:$B,2,0),"未匹配软件")</f>
        <v>1.1.7</v>
      </c>
      <c r="N49" s="19">
        <f t="shared" si="0"/>
        <v>1.17</v>
      </c>
      <c r="O49" s="19">
        <f t="shared" si="1"/>
        <v>1.2</v>
      </c>
      <c r="P49" s="19" t="str">
        <f t="shared" si="2"/>
        <v>1.2.0</v>
      </c>
    </row>
    <row r="50" ht="17" spans="1:16">
      <c r="A50" s="10">
        <v>13</v>
      </c>
      <c r="B50" s="10" t="s">
        <v>11</v>
      </c>
      <c r="C50" s="11" t="str">
        <f t="shared" si="4"/>
        <v>1.2.1</v>
      </c>
      <c r="D50" s="12">
        <v>42411.9166666667</v>
      </c>
      <c r="E50" s="10" t="s">
        <v>13</v>
      </c>
      <c r="F50" s="10"/>
      <c r="G50" s="10" t="str">
        <f>VLOOKUP(B50,软件名称和目标IP!$B$1:$C$99,2,FALSE)</f>
        <v>10.46.102.85、10.46.102.86</v>
      </c>
      <c r="H50" s="10" t="str">
        <f>VLOOKUP(B50,软件名称和目标IP!$B$1:$D$99,3,FALSE)</f>
        <v>李金山</v>
      </c>
      <c r="I50" s="10" t="s">
        <v>16</v>
      </c>
      <c r="J50" s="10" t="s">
        <v>17</v>
      </c>
      <c r="K50" s="10" t="str">
        <f t="shared" si="3"/>
        <v>监控综合应用平台2026年2月11日功能升级申请</v>
      </c>
      <c r="L50" s="19">
        <f>COUNTIF($B$2:B50,B50)-1</f>
        <v>4</v>
      </c>
      <c r="M50" s="19" t="str">
        <f>IFERROR(VLOOKUP(B50,初始版本号!$A:$B,2,0),"未匹配软件")</f>
        <v>1.1.7</v>
      </c>
      <c r="N50" s="19">
        <f t="shared" si="0"/>
        <v>1.17</v>
      </c>
      <c r="O50" s="19">
        <f t="shared" si="1"/>
        <v>1.21</v>
      </c>
      <c r="P50" s="19" t="str">
        <f t="shared" si="2"/>
        <v>1.2.1</v>
      </c>
    </row>
    <row r="51" ht="17" spans="1:16">
      <c r="A51" s="13">
        <v>1</v>
      </c>
      <c r="B51" s="13" t="s">
        <v>11</v>
      </c>
      <c r="C51" s="14" t="str">
        <f t="shared" si="4"/>
        <v>1.2.2</v>
      </c>
      <c r="D51" s="15">
        <v>42440.9166666667</v>
      </c>
      <c r="E51" s="13" t="s">
        <v>13</v>
      </c>
      <c r="F51" s="13"/>
      <c r="G51" s="13" t="str">
        <f>VLOOKUP(B51,软件名称和目标IP!$B$1:$C$99,2,FALSE)</f>
        <v>10.46.102.85、10.46.102.86</v>
      </c>
      <c r="H51" s="13" t="str">
        <f>VLOOKUP(B51,软件名称和目标IP!$B$1:$D$99,3,FALSE)</f>
        <v>李金山</v>
      </c>
      <c r="I51" s="13" t="s">
        <v>16</v>
      </c>
      <c r="J51" s="13" t="s">
        <v>17</v>
      </c>
      <c r="K51" s="13" t="str">
        <f t="shared" si="3"/>
        <v>监控综合应用平台2026年3月11日功能升级申请</v>
      </c>
      <c r="L51" s="20">
        <f>COUNTIF($B$2:B51,B51)-1</f>
        <v>5</v>
      </c>
      <c r="M51" s="20" t="str">
        <f>IFERROR(VLOOKUP(B51,初始版本号!$A:$B,2,0),"未匹配软件")</f>
        <v>1.1.7</v>
      </c>
      <c r="N51" s="20">
        <f t="shared" si="0"/>
        <v>1.17</v>
      </c>
      <c r="O51" s="20">
        <f t="shared" si="1"/>
        <v>1.22</v>
      </c>
      <c r="P51" s="20" t="str">
        <f t="shared" si="2"/>
        <v>1.2.2</v>
      </c>
    </row>
    <row r="52" ht="17" spans="1:16">
      <c r="A52" s="13">
        <v>2</v>
      </c>
      <c r="B52" s="13" t="s">
        <v>19</v>
      </c>
      <c r="C52" s="14" t="str">
        <f t="shared" si="4"/>
        <v>1.5.2</v>
      </c>
      <c r="D52" s="15">
        <v>42462.9166666667</v>
      </c>
      <c r="E52" s="13" t="s">
        <v>13</v>
      </c>
      <c r="F52" s="13"/>
      <c r="G52" s="13" t="str">
        <f>VLOOKUP(B52,软件名称和目标IP!$B$1:$C$99,2,FALSE)</f>
        <v>10.44.225.197、10.43.118.48、10.43.118.47、10.44.225.30、10.44.225.31、10.44.225.33</v>
      </c>
      <c r="H52" s="13" t="str">
        <f>VLOOKUP(B52,软件名称和目标IP!$B$1:$D$99,3,FALSE)</f>
        <v>姚翔</v>
      </c>
      <c r="I52" s="13" t="s">
        <v>16</v>
      </c>
      <c r="J52" s="13" t="s">
        <v>17</v>
      </c>
      <c r="K52" s="13" t="str">
        <f t="shared" si="3"/>
        <v>监控综合应用平台2026年4月2日功能升级申请</v>
      </c>
      <c r="L52" s="20">
        <f>COUNTIF($B$2:B52,B52)-1</f>
        <v>6</v>
      </c>
      <c r="M52" s="20" t="str">
        <f>IFERROR(VLOOKUP(B52,初始版本号!$A:$B,2,0),"未匹配软件")</f>
        <v>1.4.6</v>
      </c>
      <c r="N52" s="20">
        <f t="shared" si="0"/>
        <v>1.46</v>
      </c>
      <c r="O52" s="20">
        <f t="shared" si="1"/>
        <v>1.52</v>
      </c>
      <c r="P52" s="20" t="str">
        <f t="shared" si="2"/>
        <v>1.5.2</v>
      </c>
    </row>
    <row r="53" ht="17" spans="1:16">
      <c r="A53" s="13">
        <v>3</v>
      </c>
      <c r="B53" s="13" t="s">
        <v>11</v>
      </c>
      <c r="C53" s="14" t="str">
        <f t="shared" si="4"/>
        <v>1.2.3</v>
      </c>
      <c r="D53" s="15">
        <v>42462.9166666667</v>
      </c>
      <c r="E53" s="13" t="s">
        <v>13</v>
      </c>
      <c r="F53" s="13"/>
      <c r="G53" s="13" t="str">
        <f>VLOOKUP(B53,软件名称和目标IP!$B$1:$C$99,2,FALSE)</f>
        <v>10.46.102.85、10.46.102.86</v>
      </c>
      <c r="H53" s="13" t="str">
        <f>VLOOKUP(B53,软件名称和目标IP!$B$1:$D$99,3,FALSE)</f>
        <v>李金山</v>
      </c>
      <c r="I53" s="13" t="s">
        <v>16</v>
      </c>
      <c r="J53" s="13" t="s">
        <v>17</v>
      </c>
      <c r="K53" s="13" t="str">
        <f t="shared" si="3"/>
        <v>监控综合应用平台2026年4月2日功能升级申请</v>
      </c>
      <c r="L53" s="20">
        <f>COUNTIF($B$2:B53,B53)-1</f>
        <v>6</v>
      </c>
      <c r="M53" s="20" t="str">
        <f>IFERROR(VLOOKUP(B53,初始版本号!$A:$B,2,0),"未匹配软件")</f>
        <v>1.1.7</v>
      </c>
      <c r="N53" s="20">
        <f t="shared" si="0"/>
        <v>1.17</v>
      </c>
      <c r="O53" s="20">
        <f t="shared" si="1"/>
        <v>1.23</v>
      </c>
      <c r="P53" s="20" t="str">
        <f t="shared" si="2"/>
        <v>1.2.3</v>
      </c>
    </row>
    <row r="54" ht="17" spans="1:16">
      <c r="A54" s="13">
        <v>4</v>
      </c>
      <c r="B54" s="13" t="s">
        <v>19</v>
      </c>
      <c r="C54" s="14" t="str">
        <f t="shared" si="4"/>
        <v>1.5.3</v>
      </c>
      <c r="D54" s="15">
        <v>42475.9166666667</v>
      </c>
      <c r="E54" s="13" t="s">
        <v>13</v>
      </c>
      <c r="F54" s="13"/>
      <c r="G54" s="13" t="str">
        <f>VLOOKUP(B54,软件名称和目标IP!$B$1:$C$99,2,FALSE)</f>
        <v>10.44.225.197、10.43.118.48、10.43.118.47、10.44.225.30、10.44.225.31、10.44.225.33</v>
      </c>
      <c r="H54" s="13" t="str">
        <f>VLOOKUP(B54,软件名称和目标IP!$B$1:$D$99,3,FALSE)</f>
        <v>姚翔</v>
      </c>
      <c r="I54" s="13" t="s">
        <v>16</v>
      </c>
      <c r="J54" s="13" t="s">
        <v>17</v>
      </c>
      <c r="K54" s="13" t="str">
        <f t="shared" si="3"/>
        <v>监控综合应用平台2026年4月15日功能升级申请</v>
      </c>
      <c r="L54" s="20">
        <f>COUNTIF($B$2:B54,B54)-1</f>
        <v>7</v>
      </c>
      <c r="M54" s="20" t="str">
        <f>IFERROR(VLOOKUP(B54,初始版本号!$A:$B,2,0),"未匹配软件")</f>
        <v>1.4.6</v>
      </c>
      <c r="N54" s="20">
        <f t="shared" si="0"/>
        <v>1.46</v>
      </c>
      <c r="O54" s="20">
        <f t="shared" si="1"/>
        <v>1.53</v>
      </c>
      <c r="P54" s="20" t="str">
        <f t="shared" si="2"/>
        <v>1.5.3</v>
      </c>
    </row>
    <row r="55" ht="17" spans="1:16">
      <c r="A55" s="13">
        <v>5</v>
      </c>
      <c r="B55" s="13" t="s">
        <v>11</v>
      </c>
      <c r="C55" s="14" t="str">
        <f t="shared" ref="C55:C60" si="5">INT(O55)&amp;"."&amp;INT(MOD(O55,1)*10)&amp;"."&amp;MOD(INT(MOD(O55,1)*100),10)</f>
        <v>1.2.4</v>
      </c>
      <c r="D55" s="15">
        <v>42475.9166666667</v>
      </c>
      <c r="E55" s="13" t="s">
        <v>13</v>
      </c>
      <c r="F55" s="13"/>
      <c r="G55" s="13" t="str">
        <f>VLOOKUP(B55,软件名称和目标IP!$B$1:$C$99,2,FALSE)</f>
        <v>10.46.102.85、10.46.102.86</v>
      </c>
      <c r="H55" s="13" t="str">
        <f>VLOOKUP(B55,软件名称和目标IP!$B$1:$D$99,3,FALSE)</f>
        <v>李金山</v>
      </c>
      <c r="I55" s="13" t="s">
        <v>16</v>
      </c>
      <c r="J55" s="13" t="s">
        <v>17</v>
      </c>
      <c r="K55" s="13" t="str">
        <f t="shared" ref="K55:K60" si="6">"监控综合应用平台2026年"&amp;MONTH(D55)&amp;"月"&amp;DAY(D55)&amp;"日功能升级申请"</f>
        <v>监控综合应用平台2026年4月15日功能升级申请</v>
      </c>
      <c r="L55" s="20">
        <f>COUNTIF($B$2:B55,B55)-1</f>
        <v>7</v>
      </c>
      <c r="M55" s="20" t="str">
        <f>IFERROR(VLOOKUP(B55,初始版本号!$A:$B,2,0),"未匹配软件")</f>
        <v>1.1.7</v>
      </c>
      <c r="N55" s="20">
        <f t="shared" ref="N55:N60" si="7">IFERROR(LEFT(M55,FIND(".",M55)-1)+MID(M55,FIND(".",M55)+1,FIND(".",M55,FIND(".",M55)+1)-FIND(".",M55)-1)/10+RIGHT(M55,LEN(M55)-FIND(".",M55,FIND(".",M55)+1))/100,0)</f>
        <v>1.17</v>
      </c>
      <c r="O55" s="20">
        <f t="shared" ref="O55:O60" si="8">IFERROR(N55+L55*0.01,0)</f>
        <v>1.24</v>
      </c>
      <c r="P55" s="20" t="str">
        <f t="shared" ref="P55:P60" si="9">IF(O55=0,"无版本",INT(O55)&amp;"."&amp;INT(MOD(O55,1)*10)&amp;"."&amp;MOD(INT(MOD(O55,1)*100),10))</f>
        <v>1.2.4</v>
      </c>
    </row>
    <row r="56" ht="17" spans="1:16">
      <c r="A56" s="13">
        <v>6</v>
      </c>
      <c r="B56" s="13" t="s">
        <v>11</v>
      </c>
      <c r="C56" s="14" t="str">
        <f t="shared" si="5"/>
        <v>1.2.5</v>
      </c>
      <c r="D56" s="15">
        <v>42483.9166666667</v>
      </c>
      <c r="E56" s="13" t="s">
        <v>13</v>
      </c>
      <c r="F56" s="13"/>
      <c r="G56" s="13" t="str">
        <f>VLOOKUP(B56,软件名称和目标IP!$B$1:$C$99,2,FALSE)</f>
        <v>10.46.102.85、10.46.102.86</v>
      </c>
      <c r="H56" s="13" t="str">
        <f>VLOOKUP(B56,软件名称和目标IP!$B$1:$D$99,3,FALSE)</f>
        <v>李金山</v>
      </c>
      <c r="I56" s="13" t="s">
        <v>16</v>
      </c>
      <c r="J56" s="13" t="s">
        <v>17</v>
      </c>
      <c r="K56" s="13" t="str">
        <f t="shared" si="6"/>
        <v>监控综合应用平台2026年4月23日功能升级申请</v>
      </c>
      <c r="L56" s="20">
        <f>COUNTIF($B$2:B56,B56)-1</f>
        <v>8</v>
      </c>
      <c r="M56" s="20" t="str">
        <f>IFERROR(VLOOKUP(B56,初始版本号!$A:$B,2,0),"未匹配软件")</f>
        <v>1.1.7</v>
      </c>
      <c r="N56" s="20">
        <f t="shared" si="7"/>
        <v>1.17</v>
      </c>
      <c r="O56" s="20">
        <f t="shared" si="8"/>
        <v>1.25</v>
      </c>
      <c r="P56" s="20" t="str">
        <f t="shared" si="9"/>
        <v>1.2.5</v>
      </c>
    </row>
    <row r="57" ht="17" spans="1:16">
      <c r="A57" s="13">
        <v>7</v>
      </c>
      <c r="B57" s="13" t="s">
        <v>19</v>
      </c>
      <c r="C57" s="14" t="str">
        <f t="shared" si="5"/>
        <v>1.5.4</v>
      </c>
      <c r="D57" s="15">
        <v>42483.9166666667</v>
      </c>
      <c r="E57" s="13" t="s">
        <v>13</v>
      </c>
      <c r="F57" s="13"/>
      <c r="G57" s="13" t="str">
        <f>VLOOKUP(B57,软件名称和目标IP!$B$1:$C$99,2,FALSE)</f>
        <v>10.44.225.197、10.43.118.48、10.43.118.47、10.44.225.30、10.44.225.31、10.44.225.33</v>
      </c>
      <c r="H57" s="13" t="str">
        <f>VLOOKUP(B57,软件名称和目标IP!$B$1:$D$99,3,FALSE)</f>
        <v>姚翔</v>
      </c>
      <c r="I57" s="13" t="s">
        <v>16</v>
      </c>
      <c r="J57" s="13" t="s">
        <v>17</v>
      </c>
      <c r="K57" s="13" t="str">
        <f t="shared" si="6"/>
        <v>监控综合应用平台2026年4月23日功能升级申请</v>
      </c>
      <c r="L57" s="20">
        <f>COUNTIF($B$2:B57,B57)-1</f>
        <v>8</v>
      </c>
      <c r="M57" s="20" t="str">
        <f>IFERROR(VLOOKUP(B57,初始版本号!$A:$B,2,0),"未匹配软件")</f>
        <v>1.4.6</v>
      </c>
      <c r="N57" s="20">
        <f t="shared" si="7"/>
        <v>1.46</v>
      </c>
      <c r="O57" s="20">
        <f t="shared" si="8"/>
        <v>1.54</v>
      </c>
      <c r="P57" s="20" t="str">
        <f t="shared" si="9"/>
        <v>1.5.4</v>
      </c>
    </row>
    <row r="58" ht="17" spans="1:16">
      <c r="A58" s="13">
        <v>8</v>
      </c>
      <c r="B58" s="13" t="s">
        <v>11</v>
      </c>
      <c r="C58" s="14" t="str">
        <f t="shared" si="5"/>
        <v>1.2.6</v>
      </c>
      <c r="D58" s="15">
        <v>42497.9166666667</v>
      </c>
      <c r="E58" s="13" t="s">
        <v>13</v>
      </c>
      <c r="F58" s="13"/>
      <c r="G58" s="13" t="str">
        <f>VLOOKUP(B58,软件名称和目标IP!$B$1:$C$99,2,FALSE)</f>
        <v>10.46.102.85、10.46.102.86</v>
      </c>
      <c r="H58" s="13" t="str">
        <f>VLOOKUP(B58,软件名称和目标IP!$B$1:$D$99,3,FALSE)</f>
        <v>李金山</v>
      </c>
      <c r="I58" s="13" t="s">
        <v>16</v>
      </c>
      <c r="J58" s="13" t="s">
        <v>17</v>
      </c>
      <c r="K58" s="13" t="str">
        <f t="shared" si="6"/>
        <v>监控综合应用平台2026年5月7日功能升级申请</v>
      </c>
      <c r="L58" s="20">
        <f>COUNTIF($B$2:B58,B58)-1</f>
        <v>9</v>
      </c>
      <c r="M58" s="20" t="str">
        <f>IFERROR(VLOOKUP(B58,初始版本号!$A:$B,2,0),"未匹配软件")</f>
        <v>1.1.7</v>
      </c>
      <c r="N58" s="20">
        <f t="shared" si="7"/>
        <v>1.17</v>
      </c>
      <c r="O58" s="20">
        <f t="shared" si="8"/>
        <v>1.26</v>
      </c>
      <c r="P58" s="20" t="str">
        <f t="shared" si="9"/>
        <v>1.2.6</v>
      </c>
    </row>
    <row r="59" ht="17" spans="1:16">
      <c r="A59" s="13">
        <v>9</v>
      </c>
      <c r="B59" s="13" t="s">
        <v>19</v>
      </c>
      <c r="C59" s="14" t="str">
        <f t="shared" si="5"/>
        <v>1.5.5</v>
      </c>
      <c r="D59" s="15">
        <v>42497.9166666667</v>
      </c>
      <c r="E59" s="13" t="s">
        <v>13</v>
      </c>
      <c r="F59" s="13"/>
      <c r="G59" s="13" t="str">
        <f>VLOOKUP(B59,软件名称和目标IP!$B$1:$C$99,2,FALSE)</f>
        <v>10.44.225.197、10.43.118.48、10.43.118.47、10.44.225.30、10.44.225.31、10.44.225.33</v>
      </c>
      <c r="H59" s="13" t="str">
        <f>VLOOKUP(B59,软件名称和目标IP!$B$1:$D$99,3,FALSE)</f>
        <v>姚翔</v>
      </c>
      <c r="I59" s="13" t="s">
        <v>16</v>
      </c>
      <c r="J59" s="13" t="s">
        <v>17</v>
      </c>
      <c r="K59" s="13" t="str">
        <f t="shared" si="6"/>
        <v>监控综合应用平台2026年5月7日功能升级申请</v>
      </c>
      <c r="L59" s="20">
        <f>COUNTIF($B$2:B59,B59)-1</f>
        <v>9</v>
      </c>
      <c r="M59" s="20" t="str">
        <f>IFERROR(VLOOKUP(B59,初始版本号!$A:$B,2,0),"未匹配软件")</f>
        <v>1.4.6</v>
      </c>
      <c r="N59" s="20">
        <f t="shared" si="7"/>
        <v>1.46</v>
      </c>
      <c r="O59" s="20">
        <f t="shared" si="8"/>
        <v>1.55</v>
      </c>
      <c r="P59" s="20" t="str">
        <f t="shared" si="9"/>
        <v>1.5.5</v>
      </c>
    </row>
    <row r="60" ht="17" spans="1:16">
      <c r="A60" s="13">
        <v>10</v>
      </c>
      <c r="B60" s="13" t="s">
        <v>11</v>
      </c>
      <c r="C60" s="14" t="str">
        <f t="shared" si="5"/>
        <v>1.2.7</v>
      </c>
      <c r="D60" s="15">
        <v>42510.9166666667</v>
      </c>
      <c r="E60" s="13" t="s">
        <v>13</v>
      </c>
      <c r="F60" s="13"/>
      <c r="G60" s="13" t="str">
        <f>VLOOKUP(B60,软件名称和目标IP!$B$1:$C$99,2,FALSE)</f>
        <v>10.46.102.85、10.46.102.86</v>
      </c>
      <c r="H60" s="13" t="str">
        <f>VLOOKUP(B60,软件名称和目标IP!$B$1:$D$99,3,FALSE)</f>
        <v>李金山</v>
      </c>
      <c r="I60" s="13" t="s">
        <v>16</v>
      </c>
      <c r="J60" s="13" t="s">
        <v>17</v>
      </c>
      <c r="K60" s="13" t="str">
        <f t="shared" si="6"/>
        <v>监控综合应用平台2026年5月20日功能升级申请</v>
      </c>
      <c r="L60" s="20">
        <f>COUNTIF($B$2:B60,B60)-1</f>
        <v>10</v>
      </c>
      <c r="M60" s="20" t="str">
        <f>IFERROR(VLOOKUP(B60,初始版本号!$A:$B,2,0),"未匹配软件")</f>
        <v>1.1.7</v>
      </c>
      <c r="N60" s="20">
        <f t="shared" si="7"/>
        <v>1.17</v>
      </c>
      <c r="O60" s="20">
        <f t="shared" si="8"/>
        <v>1.27</v>
      </c>
      <c r="P60" s="20" t="str">
        <f t="shared" si="9"/>
        <v>1.2.7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8"/>
  </sheetPr>
  <dimension ref="A1:B17"/>
  <sheetViews>
    <sheetView workbookViewId="0">
      <selection activeCell="D6" sqref="D6"/>
    </sheetView>
  </sheetViews>
  <sheetFormatPr defaultColWidth="9.23076923076923" defaultRowHeight="16.8" outlineLevelCol="1"/>
  <cols>
    <col min="1" max="1" width="15.9615384615385" customWidth="1"/>
    <col min="2" max="2" width="18.4230769230769" customWidth="1"/>
  </cols>
  <sheetData>
    <row r="1" ht="17.75" spans="1:2">
      <c r="A1" s="3" t="s">
        <v>1</v>
      </c>
      <c r="B1" s="3" t="s">
        <v>83</v>
      </c>
    </row>
    <row r="2" ht="17.75" spans="1:2">
      <c r="A2" s="4" t="s">
        <v>19</v>
      </c>
      <c r="B2" s="4" t="s">
        <v>41</v>
      </c>
    </row>
    <row r="3" ht="17.75" spans="1:2">
      <c r="A3" s="4" t="s">
        <v>46</v>
      </c>
      <c r="B3" s="4" t="s">
        <v>47</v>
      </c>
    </row>
    <row r="4" ht="17.75" spans="1:2">
      <c r="A4" s="4" t="s">
        <v>50</v>
      </c>
      <c r="B4" s="4" t="s">
        <v>47</v>
      </c>
    </row>
    <row r="5" ht="17.75" spans="1:2">
      <c r="A5" s="4" t="s">
        <v>51</v>
      </c>
      <c r="B5" s="4" t="s">
        <v>47</v>
      </c>
    </row>
    <row r="6" ht="17.75" spans="1:2">
      <c r="A6" s="4" t="s">
        <v>84</v>
      </c>
      <c r="B6" s="4" t="s">
        <v>47</v>
      </c>
    </row>
    <row r="7" ht="17.75" spans="1:2">
      <c r="A7" s="4" t="s">
        <v>53</v>
      </c>
      <c r="B7" s="4" t="s">
        <v>47</v>
      </c>
    </row>
    <row r="8" ht="17.75" spans="1:2">
      <c r="A8" s="4" t="s">
        <v>54</v>
      </c>
      <c r="B8" s="4" t="s">
        <v>47</v>
      </c>
    </row>
    <row r="9" ht="17.75" spans="1:2">
      <c r="A9" s="4" t="s">
        <v>61</v>
      </c>
      <c r="B9" s="4" t="s">
        <v>62</v>
      </c>
    </row>
    <row r="10" ht="34.75" spans="1:2">
      <c r="A10" s="4" t="s">
        <v>66</v>
      </c>
      <c r="B10" s="4" t="s">
        <v>67</v>
      </c>
    </row>
    <row r="11" ht="17.75" spans="1:2">
      <c r="A11" s="4" t="s">
        <v>74</v>
      </c>
      <c r="B11" s="4" t="s">
        <v>75</v>
      </c>
    </row>
    <row r="12" ht="17.75" spans="1:2">
      <c r="A12" s="4" t="s">
        <v>79</v>
      </c>
      <c r="B12" s="4" t="s">
        <v>60</v>
      </c>
    </row>
    <row r="13" ht="17.75" spans="1:2">
      <c r="A13" s="4" t="s">
        <v>11</v>
      </c>
      <c r="B13" s="4" t="s">
        <v>60</v>
      </c>
    </row>
    <row r="14" ht="17.75" spans="1:2">
      <c r="A14" s="4" t="s">
        <v>80</v>
      </c>
      <c r="B14" s="4" t="s">
        <v>85</v>
      </c>
    </row>
    <row r="15" ht="17.75" spans="1:2">
      <c r="A15" s="4" t="s">
        <v>81</v>
      </c>
      <c r="B15" s="4" t="s">
        <v>85</v>
      </c>
    </row>
    <row r="16" ht="17.75" spans="1:2">
      <c r="A16" s="4" t="s">
        <v>82</v>
      </c>
      <c r="B16" s="4" t="s">
        <v>85</v>
      </c>
    </row>
    <row r="17" spans="1:2">
      <c r="A17" t="s">
        <v>52</v>
      </c>
      <c r="B17" t="s">
        <v>70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4"/>
  </sheetPr>
  <dimension ref="A1:E15"/>
  <sheetViews>
    <sheetView workbookViewId="0">
      <selection activeCell="D27" sqref="D27"/>
    </sheetView>
  </sheetViews>
  <sheetFormatPr defaultColWidth="9.23076923076923" defaultRowHeight="16.8" outlineLevelCol="4"/>
  <cols>
    <col min="1" max="1" width="9"/>
    <col min="2" max="2" width="17.6153846153846" customWidth="1"/>
    <col min="3" max="3" width="73.7115384615385" customWidth="1"/>
  </cols>
  <sheetData>
    <row r="1" spans="1:5">
      <c r="A1" s="1" t="s">
        <v>0</v>
      </c>
      <c r="B1" s="1" t="s">
        <v>1</v>
      </c>
      <c r="C1" s="1" t="s">
        <v>6</v>
      </c>
      <c r="D1" s="1" t="s">
        <v>7</v>
      </c>
      <c r="E1" s="1" t="s">
        <v>2</v>
      </c>
    </row>
    <row r="2" spans="1:5">
      <c r="A2" s="1">
        <f>ROW()-1</f>
        <v>1</v>
      </c>
      <c r="B2" s="1" t="s">
        <v>19</v>
      </c>
      <c r="C2" s="1" t="s">
        <v>21</v>
      </c>
      <c r="D2" s="1" t="s">
        <v>22</v>
      </c>
      <c r="E2" s="1" t="s">
        <v>44</v>
      </c>
    </row>
    <row r="3" spans="1:5">
      <c r="A3" s="1">
        <f t="shared" ref="A3:A14" si="0">ROW()-1</f>
        <v>2</v>
      </c>
      <c r="B3" s="1" t="s">
        <v>46</v>
      </c>
      <c r="C3" s="1" t="s">
        <v>48</v>
      </c>
      <c r="D3" s="1" t="s">
        <v>49</v>
      </c>
      <c r="E3" s="2" t="s">
        <v>60</v>
      </c>
    </row>
    <row r="4" spans="1:5">
      <c r="A4" s="1">
        <f t="shared" si="0"/>
        <v>3</v>
      </c>
      <c r="B4" s="1" t="s">
        <v>50</v>
      </c>
      <c r="C4" s="1" t="s">
        <v>48</v>
      </c>
      <c r="D4" s="1" t="s">
        <v>49</v>
      </c>
      <c r="E4" s="2" t="s">
        <v>60</v>
      </c>
    </row>
    <row r="5" spans="1:5">
      <c r="A5" s="1">
        <f t="shared" si="0"/>
        <v>4</v>
      </c>
      <c r="B5" s="1" t="s">
        <v>51</v>
      </c>
      <c r="C5" s="1" t="s">
        <v>48</v>
      </c>
      <c r="D5" s="1" t="s">
        <v>49</v>
      </c>
      <c r="E5" s="2" t="s">
        <v>60</v>
      </c>
    </row>
    <row r="6" spans="1:5">
      <c r="A6" s="1">
        <f t="shared" si="0"/>
        <v>5</v>
      </c>
      <c r="B6" s="1" t="s">
        <v>52</v>
      </c>
      <c r="C6" s="1" t="s">
        <v>48</v>
      </c>
      <c r="D6" s="1" t="s">
        <v>49</v>
      </c>
      <c r="E6" s="2" t="s">
        <v>60</v>
      </c>
    </row>
    <row r="7" spans="1:5">
      <c r="A7" s="1">
        <f t="shared" si="0"/>
        <v>6</v>
      </c>
      <c r="B7" s="1" t="s">
        <v>53</v>
      </c>
      <c r="C7" s="1" t="s">
        <v>48</v>
      </c>
      <c r="D7" s="1" t="s">
        <v>49</v>
      </c>
      <c r="E7" s="2" t="s">
        <v>60</v>
      </c>
    </row>
    <row r="8" spans="1:5">
      <c r="A8" s="1">
        <f t="shared" si="0"/>
        <v>7</v>
      </c>
      <c r="B8" s="1" t="s">
        <v>54</v>
      </c>
      <c r="C8" s="1" t="s">
        <v>48</v>
      </c>
      <c r="D8" s="1" t="s">
        <v>49</v>
      </c>
      <c r="E8" s="2" t="s">
        <v>60</v>
      </c>
    </row>
    <row r="9" spans="1:5">
      <c r="A9" s="1">
        <f t="shared" si="0"/>
        <v>8</v>
      </c>
      <c r="B9" s="1" t="s">
        <v>79</v>
      </c>
      <c r="C9" s="1" t="s">
        <v>86</v>
      </c>
      <c r="D9" s="1" t="s">
        <v>49</v>
      </c>
      <c r="E9" s="2" t="s">
        <v>60</v>
      </c>
    </row>
    <row r="10" spans="1:5">
      <c r="A10" s="1">
        <f t="shared" si="0"/>
        <v>9</v>
      </c>
      <c r="B10" s="1" t="s">
        <v>11</v>
      </c>
      <c r="C10" s="1" t="s">
        <v>14</v>
      </c>
      <c r="D10" s="1" t="s">
        <v>15</v>
      </c>
      <c r="E10" s="2" t="s">
        <v>60</v>
      </c>
    </row>
    <row r="11" spans="1:5">
      <c r="A11" s="1">
        <f t="shared" si="0"/>
        <v>10</v>
      </c>
      <c r="B11" s="1" t="s">
        <v>80</v>
      </c>
      <c r="C11" s="1" t="s">
        <v>77</v>
      </c>
      <c r="D11" s="1" t="s">
        <v>78</v>
      </c>
      <c r="E11" s="1" t="s">
        <v>85</v>
      </c>
    </row>
    <row r="12" spans="1:5">
      <c r="A12" s="1">
        <f t="shared" si="0"/>
        <v>11</v>
      </c>
      <c r="B12" s="2" t="s">
        <v>74</v>
      </c>
      <c r="C12" s="2" t="s">
        <v>77</v>
      </c>
      <c r="D12" s="2" t="s">
        <v>78</v>
      </c>
      <c r="E12" s="2" t="s">
        <v>75</v>
      </c>
    </row>
    <row r="13" spans="1:5">
      <c r="A13" s="1">
        <f t="shared" si="0"/>
        <v>12</v>
      </c>
      <c r="B13" s="2" t="s">
        <v>82</v>
      </c>
      <c r="C13" s="2" t="s">
        <v>87</v>
      </c>
      <c r="D13" s="2" t="s">
        <v>69</v>
      </c>
      <c r="E13" s="2" t="s">
        <v>85</v>
      </c>
    </row>
    <row r="14" spans="1:5">
      <c r="A14" s="1">
        <f t="shared" si="0"/>
        <v>13</v>
      </c>
      <c r="B14" s="2" t="s">
        <v>81</v>
      </c>
      <c r="C14" s="2" t="s">
        <v>88</v>
      </c>
      <c r="D14" s="2" t="s">
        <v>69</v>
      </c>
      <c r="E14" s="2" t="s">
        <v>85</v>
      </c>
    </row>
    <row r="15" spans="1:5">
      <c r="A15" s="1"/>
      <c r="B15" s="2"/>
      <c r="C15" s="2"/>
      <c r="D15" s="2"/>
      <c r="E15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202603～5月</vt:lpstr>
      <vt:lpstr>版本号计算</vt:lpstr>
      <vt:lpstr>初始版本号</vt:lpstr>
      <vt:lpstr>软件名称和目标IP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Eden子cium</cp:lastModifiedBy>
  <dcterms:created xsi:type="dcterms:W3CDTF">2025-04-18T11:26:00Z</dcterms:created>
  <dcterms:modified xsi:type="dcterms:W3CDTF">2026-05-29T10:14:20Z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C922D3E63EE732147CF6186AC5B59777_43</vt:lpwstr>
  </property>
  <property fmtid="{D5CDD505-2E9C-101B-9397-08002B2CF9AE}" pid="3" name="KSOProductBuildVer">
    <vt:lpwstr>2052-12.1.21861.21861</vt:lpwstr>
  </property>
</Properties>
</file>