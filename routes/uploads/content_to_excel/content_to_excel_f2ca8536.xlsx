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3～5月" sheetId="1" state="visible" r:id="rId1"/>
    <sheet xmlns:r="http://schemas.openxmlformats.org/officeDocument/2006/relationships" name="版本号计算" sheetId="2" state="visible" r:id="rId2"/>
    <sheet xmlns:r="http://schemas.openxmlformats.org/officeDocument/2006/relationships" name="初始版本号" sheetId="3" state="visible" r:id="rId3"/>
    <sheet xmlns:r="http://schemas.openxmlformats.org/officeDocument/2006/relationships" name="软件名称和目标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8" customWidth="1" min="4" max="4"/>
    <col width="10" customWidth="1" min="5" max="5"/>
    <col width="10" customWidth="1" min="6" max="6"/>
    <col width="30" customWidth="1" min="7" max="7"/>
    <col width="10" customWidth="1" min="8" max="8"/>
    <col width="10" customWidth="1" min="9" max="9"/>
    <col width="25" customWidth="1" min="10" max="10"/>
    <col width="35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序号</t>
        </is>
      </c>
      <c r="B1" t="inlineStr">
        <is>
          <t>软件名称</t>
        </is>
      </c>
      <c r="C1" t="inlineStr">
        <is>
          <t>版本号</t>
        </is>
      </c>
      <c r="D1" t="inlineStr">
        <is>
          <t>装载日期</t>
        </is>
      </c>
      <c r="E1" t="inlineStr">
        <is>
          <t>操作类型</t>
        </is>
      </c>
      <c r="F1" t="inlineStr">
        <is>
          <t>目标名称</t>
        </is>
      </c>
      <c r="G1" t="inlineStr">
        <is>
          <t>目标IP</t>
        </is>
      </c>
      <c r="H1" t="inlineStr">
        <is>
          <t>操作人员</t>
        </is>
      </c>
      <c r="I1" t="inlineStr">
        <is>
          <t>操作验证</t>
        </is>
      </c>
      <c r="J1" t="inlineStr">
        <is>
          <t>验证人员</t>
        </is>
      </c>
      <c r="K1" t="inlineStr">
        <is>
          <t>备注</t>
        </is>
      </c>
      <c r="L1" t="inlineStr">
        <is>
          <t>迭代次数 N</t>
        </is>
      </c>
      <c r="M1" t="inlineStr">
        <is>
          <t>首次初始版本</t>
        </is>
      </c>
      <c r="N1" t="inlineStr">
        <is>
          <t>计算小数</t>
        </is>
      </c>
      <c r="O1" t="inlineStr">
        <is>
          <t>版本计算</t>
        </is>
      </c>
      <c r="P1" t="inlineStr">
        <is>
          <t>标准版本号</t>
        </is>
      </c>
    </row>
    <row r="2">
      <c r="A2" t="n">
        <v>1</v>
      </c>
      <c r="B2" t="inlineStr">
        <is>
          <t>智能调服务</t>
        </is>
      </c>
      <c r="C2">
        <f>IF(O2=0,"无版本",INT(O2)&amp;"."&amp;INT(MOD(O2,1)*10)&amp;"."&amp;MOD(INT(MOD(O2,1)*10),10)</f>
        <v/>
      </c>
      <c r="D2" t="inlineStr">
        <is>
          <t>2026/3/11 22:00</t>
        </is>
      </c>
      <c r="E2" t="inlineStr">
        <is>
          <t>更新</t>
        </is>
      </c>
      <c r="F2" t="inlineStr"/>
      <c r="G2">
        <f>VLOOKUP(B2,软件名称和目标IP!$B:$F,3,FALSE)</f>
        <v/>
      </c>
      <c r="H2">
        <f>VLOOKUP(B2,软件名称和目标IP!$B:$F,4,FALSE)</f>
        <v/>
      </c>
      <c r="I2" t="inlineStr">
        <is>
          <t>正常</t>
        </is>
      </c>
      <c r="J2">
        <f>VLOOKUP(B2,软件名称和目标IP!$B:$F,6,FALSE)</f>
        <v/>
      </c>
      <c r="K2">
        <f>"监控综合应用平台"&amp;YEAR(D2)&amp;"月"&amp;DAY(D2)&amp;"日功能升级申请"</f>
        <v/>
      </c>
      <c r="L2">
        <f>COUNTIF($B$2:B2,B2)-1</f>
        <v/>
      </c>
      <c r="M2">
        <f>IFERROR(VLOOKUP(B2,初始版本号!$A:$B,2,0),"未匹配软件")</f>
        <v/>
      </c>
      <c r="N2">
        <f>IFERROR(LEFT(M2,FIND(".",M2)-1)+MID(M2,FIND(".",M2)+1,FIND(".",M2,FIND(".",M2)+1)-FIND(".",M2)-1)/10+RIGHT(M2,LEN(M2)-FIND(".",M2,FIND(".",M2)+1))/100,0)</f>
        <v/>
      </c>
      <c r="O2">
        <f>IFERROR(N2+L2*0.01,0)</f>
        <v/>
      </c>
      <c r="P2">
        <f>IF(O2=0,"无版本",INT(O2)&amp;"."&amp;INT(MOD(O2,1)*10)&amp;"."&amp;MOD(INT(MOD(O2,1)*10),10))</f>
        <v/>
      </c>
    </row>
    <row r="3">
      <c r="A3" t="n">
        <v>2</v>
      </c>
      <c r="B3" t="inlineStr">
        <is>
          <t>智能调服务</t>
        </is>
      </c>
      <c r="C3">
        <f>IF(O3=0,"无版本",INT(O3)&amp;"."&amp;INT(MOD(O3,1)*10)&amp;"."&amp;MOD(INT(MOD(O3,1)*10),10)</f>
        <v/>
      </c>
      <c r="D3" t="inlineStr">
        <is>
          <t>2026/4/2 22:00</t>
        </is>
      </c>
      <c r="E3" t="inlineStr">
        <is>
          <t>更新</t>
        </is>
      </c>
      <c r="F3" t="inlineStr"/>
      <c r="G3">
        <f>VLOOKUP(B3,软件名称和目标IP!$B:$F,3,FALSE)</f>
        <v/>
      </c>
      <c r="H3">
        <f>VLOOKUP(B3,软件名称和目标IP!$B:$F,4,FALSE)</f>
        <v/>
      </c>
      <c r="I3" t="inlineStr">
        <is>
          <t>正常</t>
        </is>
      </c>
      <c r="J3">
        <f>VLOOKUP(B3,软件名称和目标IP!$B:$F,6,FALSE)</f>
        <v/>
      </c>
      <c r="K3">
        <f>"监控综合应用平台"&amp;YEAR(D3)&amp;"月"&amp;DAY(D3)&amp;"日功能升级申请"</f>
        <v/>
      </c>
      <c r="L3">
        <f>COUNTIF($B$2:B3,B3)-1</f>
        <v/>
      </c>
      <c r="M3">
        <f>IFERROR(VLOOKUP(B3,初始版本号!$A:$B,2,0),"未匹配软件")</f>
        <v/>
      </c>
      <c r="N3">
        <f>IFERROR(LEFT(M3,FIND(".",M3)-1)+MID(M3,FIND(".",M3)+1,FIND(".",M3,FIND(".",M3)+1)-FIND(".",M3)-1)/10+RIGHT(M3,LEN(M3)-FIND(".",M3,FIND(".",M3)+1))/100,0)</f>
        <v/>
      </c>
      <c r="O3">
        <f>IFERROR(N3+L3*0.01,0)</f>
        <v/>
      </c>
      <c r="P3">
        <f>IF(O3=0,"无版本",INT(O3)&amp;"."&amp;INT(MOD(O3,1)*10)&amp;"."&amp;MOD(INT(MOD(O3,1)*10),10))</f>
        <v/>
      </c>
    </row>
    <row r="4">
      <c r="A4" t="n">
        <v>3</v>
      </c>
      <c r="B4" t="inlineStr">
        <is>
          <t>省内工单服务</t>
        </is>
      </c>
      <c r="C4">
        <f>IF(O4=0,"无版本",INT(O4)&amp;"."&amp;INT(MOD(O4,1)*10)&amp;"."&amp;MOD(INT(MOD(O4,1)*10),10)</f>
        <v/>
      </c>
      <c r="D4" t="inlineStr">
        <is>
          <t>2026/4/15 22:00</t>
        </is>
      </c>
      <c r="E4" t="inlineStr">
        <is>
          <t>更新</t>
        </is>
      </c>
      <c r="F4" t="inlineStr"/>
      <c r="G4">
        <f>VLOOKUP(B4,软件名称和目标IP!$B:$F,3,FALSE)</f>
        <v/>
      </c>
      <c r="H4">
        <f>VLOOKUP(B4,软件名称和目标IP!$B:$F,4,FALSE)</f>
        <v/>
      </c>
      <c r="I4" t="inlineStr">
        <is>
          <t>正常</t>
        </is>
      </c>
      <c r="J4">
        <f>VLOOKUP(B4,软件名称和目标IP!$B:$F,6,FALSE)</f>
        <v/>
      </c>
      <c r="K4">
        <f>"监控综合应用平台"&amp;YEAR(D4)&amp;"月"&amp;DAY(D4)&amp;"日功能升级申请"</f>
        <v/>
      </c>
      <c r="L4">
        <f>COUNTIF($B$2:B4,B4)-1</f>
        <v/>
      </c>
      <c r="M4">
        <f>IFERROR(VLOOKUP(B4,初始版本号!$A:$B,2,0),"未匹配软件")</f>
        <v/>
      </c>
      <c r="N4">
        <f>IFERROR(LEFT(M4,FIND(".",M4)-1)+MID(M4,FIND(".",M4)+1,FIND(".",M4,FIND(".",M4)+1)-FIND(".",M4)-1)/10+RIGHT(M4,LEN(M4)-FIND(".",M4,FIND(".",M4)+1))/100,0)</f>
        <v/>
      </c>
      <c r="O4">
        <f>IFERROR(N4+L4*0.01,0)</f>
        <v/>
      </c>
      <c r="P4">
        <f>IF(O4=0,"无版本",INT(O4)&amp;"."&amp;INT(MOD(O4,1)*10)&amp;"."&amp;MOD(INT(MOD(O4,1)*10),10))</f>
        <v/>
      </c>
    </row>
    <row r="5">
      <c r="A5" t="n">
        <v>4</v>
      </c>
      <c r="B5" t="inlineStr">
        <is>
          <t>智能调服务</t>
        </is>
      </c>
      <c r="C5">
        <f>IF(O5=0,"无版本",INT(O5)&amp;"."&amp;INT(MOD(O5,1)*10)&amp;"."&amp;MOD(INT(MOD(O5,1)*10),10)</f>
        <v/>
      </c>
      <c r="D5" t="inlineStr">
        <is>
          <t>2026/4/15 22:00</t>
        </is>
      </c>
      <c r="E5" t="inlineStr">
        <is>
          <t>更新</t>
        </is>
      </c>
      <c r="F5" t="inlineStr"/>
      <c r="G5">
        <f>VLOOKUP(B5,软件名称和目标IP!$B:$F,3,FALSE)</f>
        <v/>
      </c>
      <c r="H5">
        <f>VLOOKUP(B5,软件名称和目标IP!$B:$F,4,FALSE)</f>
        <v/>
      </c>
      <c r="I5" t="inlineStr">
        <is>
          <t>正常</t>
        </is>
      </c>
      <c r="J5">
        <f>VLOOKUP(B5,软件名称和目标IP!$B:$F,6,FALSE)</f>
        <v/>
      </c>
      <c r="K5">
        <f>"监控综合应用平台"&amp;YEAR(D5)&amp;"月"&amp;DAY(D5)&amp;"日功能升级申请"</f>
        <v/>
      </c>
      <c r="L5">
        <f>COUNTIF($B$2:B5,B5)-1</f>
        <v/>
      </c>
      <c r="M5">
        <f>IFERROR(VLOOKUP(B5,初始版本号!$A:$B,2,0),"未匹配软件")</f>
        <v/>
      </c>
      <c r="N5">
        <f>IFERROR(LEFT(M5,FIND(".",M5)-1)+MID(M5,FIND(".",M5)+1,FIND(".",M5,FIND(".",M5)+1)-FIND(".",M5)-1)/10+RIGHT(M5,LEN(M5)-FIND(".",M5,FIND(".",M5)+1))/100,0)</f>
        <v/>
      </c>
      <c r="O5">
        <f>IFERROR(N5+L5*0.01,0)</f>
        <v/>
      </c>
      <c r="P5">
        <f>IF(O5=0,"无版本",INT(O5)&amp;"."&amp;INT(MOD(O5,1)*10)&amp;"."&amp;MOD(INT(MOD(O5,1)*10),10))</f>
        <v/>
      </c>
    </row>
    <row r="6">
      <c r="A6" t="n">
        <v>5</v>
      </c>
      <c r="B6" t="inlineStr">
        <is>
          <t>智能调服务</t>
        </is>
      </c>
      <c r="C6">
        <f>IF(O6=0,"无版本",INT(O6)&amp;"."&amp;INT(MOD(O6,1)*10)&amp;"."&amp;MOD(INT(MOD(O6,1)*10),10)</f>
        <v/>
      </c>
      <c r="D6" t="inlineStr">
        <is>
          <t>2026/4/23 22:00</t>
        </is>
      </c>
      <c r="E6" t="inlineStr">
        <is>
          <t>更新</t>
        </is>
      </c>
      <c r="F6" t="inlineStr"/>
      <c r="G6">
        <f>VLOOKUP(B6,软件名称和目标IP!$B:$F,3,FALSE)</f>
        <v/>
      </c>
      <c r="H6">
        <f>VLOOKUP(B6,软件名称和目标IP!$B:$F,4,FALSE)</f>
        <v/>
      </c>
      <c r="I6" t="inlineStr">
        <is>
          <t>正常</t>
        </is>
      </c>
      <c r="J6">
        <f>VLOOKUP(B6,软件名称和目标IP!$B:$F,6,FALSE)</f>
        <v/>
      </c>
      <c r="K6">
        <f>"监控综合应用平台"&amp;YEAR(D6)&amp;"月"&amp;DAY(D6)&amp;"日功能升级申请"</f>
        <v/>
      </c>
      <c r="L6">
        <f>COUNTIF($B$2:B6,B6)-1</f>
        <v/>
      </c>
      <c r="M6">
        <f>IFERROR(VLOOKUP(B6,初始版本号!$A:$B,2,0),"未匹配软件")</f>
        <v/>
      </c>
      <c r="N6">
        <f>IFERROR(LEFT(M6,FIND(".",M6)-1)+MID(M6,FIND(".",M6)+1,FIND(".",M6,FIND(".",M6)+1)-FIND(".",M6)-1)/10+RIGHT(M6,LEN(M6)-FIND(".",M6,FIND(".",M6)+1))/100,0)</f>
        <v/>
      </c>
      <c r="O6">
        <f>IFERROR(N6+L6*0.01,0)</f>
        <v/>
      </c>
      <c r="P6">
        <f>IF(O6=0,"无版本",INT(O6)&amp;"."&amp;INT(MOD(O6,1)*10)&amp;"."&amp;MOD(INT(MOD(O6,1)*10),10))</f>
        <v/>
      </c>
    </row>
    <row r="7">
      <c r="A7" t="n">
        <v>6</v>
      </c>
      <c r="B7" t="inlineStr">
        <is>
          <t>省内工单服务</t>
        </is>
      </c>
      <c r="C7">
        <f>IF(O7=0,"无版本",INT(O7)&amp;"."&amp;INT(MOD(O7,1)*10)&amp;"."&amp;MOD(INT(MOD(O7,1)*10),10)</f>
        <v/>
      </c>
      <c r="D7" t="inlineStr">
        <is>
          <t>2026/5/7 22:00</t>
        </is>
      </c>
      <c r="E7" t="inlineStr">
        <is>
          <t>更新</t>
        </is>
      </c>
      <c r="F7" t="inlineStr"/>
      <c r="G7">
        <f>VLOOKUP(B7,软件名称和目标IP!$B:$F,3,FALSE)</f>
        <v/>
      </c>
      <c r="H7">
        <f>VLOOKUP(B7,软件名称和目标IP!$B:$F,4,FALSE)</f>
        <v/>
      </c>
      <c r="I7" t="inlineStr">
        <is>
          <t>正常</t>
        </is>
      </c>
      <c r="J7">
        <f>VLOOKUP(B7,软件名称和目标IP!$B:$F,6,FALSE)</f>
        <v/>
      </c>
      <c r="K7">
        <f>"监控综合应用平台"&amp;YEAR(D7)&amp;"月"&amp;DAY(D7)&amp;"日功能升级申请"</f>
        <v/>
      </c>
      <c r="L7">
        <f>COUNTIF($B$2:B7,B7)-1</f>
        <v/>
      </c>
      <c r="M7">
        <f>IFERROR(VLOOKUP(B7,初始版本号!$A:$B,2,0),"未匹配软件")</f>
        <v/>
      </c>
      <c r="N7">
        <f>IFERROR(LEFT(M7,FIND(".",M7)-1)+MID(M7,FIND(".",M7)+1,FIND(".",M7,FIND(".",M7)+1)-FIND(".",M7)-1)/10+RIGHT(M7,LEN(M7)-FIND(".",M7,FIND(".",M7)+1))/100,0)</f>
        <v/>
      </c>
      <c r="O7">
        <f>IFERROR(N7+L7*0.01,0)</f>
        <v/>
      </c>
      <c r="P7">
        <f>IF(O7=0,"无版本",INT(O7)&amp;"."&amp;INT(MOD(O7,1)*10)&amp;"."&amp;MOD(INT(MOD(O7,1)*10),10))</f>
        <v/>
      </c>
    </row>
    <row r="8">
      <c r="A8" t="n">
        <v>7</v>
      </c>
      <c r="B8" t="inlineStr">
        <is>
          <t>智能调服务</t>
        </is>
      </c>
      <c r="C8">
        <f>IF(O8=0,"无版本",INT(O8)&amp;"."&amp;INT(MOD(O8,1)*10)&amp;"."&amp;MOD(INT(MOD(O8,1)*10),10)</f>
        <v/>
      </c>
      <c r="D8" t="inlineStr">
        <is>
          <t>2026/5/7 22:00</t>
        </is>
      </c>
      <c r="E8" t="inlineStr">
        <is>
          <t>更新</t>
        </is>
      </c>
      <c r="F8" t="inlineStr"/>
      <c r="G8">
        <f>VLOOKUP(B8,软件名称和目标IP!$B:$F,3,FALSE)</f>
        <v/>
      </c>
      <c r="H8">
        <f>VLOOKUP(B8,软件名称和目标IP!$B:$F,4,FALSE)</f>
        <v/>
      </c>
      <c r="I8" t="inlineStr">
        <is>
          <t>正常</t>
        </is>
      </c>
      <c r="J8">
        <f>VLOOKUP(B8,软件名称和目标IP!$B:$F,6,FALSE)</f>
        <v/>
      </c>
      <c r="K8">
        <f>"监控综合应用平台"&amp;YEAR(D8)&amp;"月"&amp;DAY(D8)&amp;"日功能升级申请"</f>
        <v/>
      </c>
      <c r="L8">
        <f>COUNTIF($B$2:B8,B8)-1</f>
        <v/>
      </c>
      <c r="M8">
        <f>IFERROR(VLOOKUP(B8,初始版本号!$A:$B,2,0),"未匹配软件")</f>
        <v/>
      </c>
      <c r="N8">
        <f>IFERROR(LEFT(M8,FIND(".",M8)-1)+MID(M8,FIND(".",M8)+1,FIND(".",M8,FIND(".",M8)+1)-FIND(".",M8)-1)/10+RIGHT(M8,LEN(M8)-FIND(".",M8,FIND(".",M8)+1))/100,0)</f>
        <v/>
      </c>
      <c r="O8">
        <f>IFERROR(N8+L8*0.01,0)</f>
        <v/>
      </c>
      <c r="P8">
        <f>IF(O8=0,"无版本",INT(O8)&amp;"."&amp;INT(MOD(O8,1)*10)&amp;"."&amp;MOD(INT(MOD(O8,1)*10),10))</f>
        <v/>
      </c>
    </row>
    <row r="9">
      <c r="A9" t="n">
        <v>8</v>
      </c>
      <c r="B9" t="inlineStr">
        <is>
          <t>省内工单服务</t>
        </is>
      </c>
      <c r="C9">
        <f>IF(O9=0,"无版本",INT(O9)&amp;"."&amp;INT(MOD(O9,1)*10)&amp;"."&amp;MOD(INT(MOD(O9,1)*10),10)</f>
        <v/>
      </c>
      <c r="D9" t="inlineStr">
        <is>
          <t>2026/5/20 22:00</t>
        </is>
      </c>
      <c r="E9" t="inlineStr">
        <is>
          <t>更新</t>
        </is>
      </c>
      <c r="F9" t="inlineStr"/>
      <c r="G9">
        <f>VLOOKUP(B9,软件名称和目标IP!$B:$F,3,FALSE)</f>
        <v/>
      </c>
      <c r="H9">
        <f>VLOOKUP(B9,软件名称和目标IP!$B:$F,4,FALSE)</f>
        <v/>
      </c>
      <c r="I9" t="inlineStr">
        <is>
          <t>正常</t>
        </is>
      </c>
      <c r="J9">
        <f>VLOOKUP(B9,软件名称和目标IP!$B:$F,6,FALSE)</f>
        <v/>
      </c>
      <c r="K9">
        <f>"监控综合应用平台"&amp;YEAR(D9)&amp;"月"&amp;DAY(D9)&amp;"日功能升级申请"</f>
        <v/>
      </c>
      <c r="L9">
        <f>COUNTIF($B$2:B9,B9)-1</f>
        <v/>
      </c>
      <c r="M9">
        <f>IFERROR(VLOOKUP(B9,初始版本号!$A:$B,2,0),"未匹配软件")</f>
        <v/>
      </c>
      <c r="N9">
        <f>IFERROR(LEFT(M9,FIND(".",M9)-1)+MID(M9,FIND(".",M9)+1,FIND(".",M9,FIND(".",M9)+1)-FIND(".",M9)-1)/10+RIGHT(M9,LEN(M9)-FIND(".",M9,FIND(".",M9)+1))/100,0)</f>
        <v/>
      </c>
      <c r="O9">
        <f>IFERROR(N9+L9*0.01,0)</f>
        <v/>
      </c>
      <c r="P9">
        <f>IF(O9=0,"无版本",INT(O9)&amp;"."&amp;INT(MOD(O9,1)*10)&amp;"."&amp;MOD(INT(MOD(O9,1)*10),10))</f>
        <v/>
      </c>
    </row>
    <row r="10">
      <c r="A10" t="n">
        <v>9</v>
      </c>
      <c r="B10" t="inlineStr">
        <is>
          <t>智能调服务</t>
        </is>
      </c>
      <c r="C10">
        <f>IF(O10=0,"无版本",INT(O10)&amp;"."&amp;INT(MOD(O10,1)*10)&amp;"."&amp;MOD(INT(MOD(O10,1)*10),10)</f>
        <v/>
      </c>
      <c r="D10" t="inlineStr">
        <is>
          <t>2026/5/20 22:00</t>
        </is>
      </c>
      <c r="E10" t="inlineStr">
        <is>
          <t>更新</t>
        </is>
      </c>
      <c r="F10" t="inlineStr"/>
      <c r="G10">
        <f>VLOOKUP(B10,软件名称和目标IP!$B:$F,3,FALSE)</f>
        <v/>
      </c>
      <c r="H10">
        <f>VLOOKUP(B10,软件名称和目标IP!$B:$F,4,FALSE)</f>
        <v/>
      </c>
      <c r="I10" t="inlineStr">
        <is>
          <t>正常</t>
        </is>
      </c>
      <c r="J10">
        <f>VLOOKUP(B10,软件名称和目标IP!$B:$F,6,FALSE)</f>
        <v/>
      </c>
      <c r="K10">
        <f>"监控综合应用平台"&amp;YEAR(D10)&amp;"月"&amp;DAY(D10)&amp;"日功能升级申请"</f>
        <v/>
      </c>
      <c r="L10">
        <f>COUNTIF($B$2:B10,B10)-1</f>
        <v/>
      </c>
      <c r="M10">
        <f>IFERROR(VLOOKUP(B10,初始版本号!$A:$B,2,0),"未匹配软件")</f>
        <v/>
      </c>
      <c r="N10">
        <f>IFERROR(LEFT(M10,FIND(".",M10)-1)+MID(M10,FIND(".",M10)+1,FIND(".",M10,FIND(".",M10)+1)-FIND(".",M10)-1)/10+RIGHT(M10,LEN(M10)-FIND(".",M10,FIND(".",M10)+1))/100,0)</f>
        <v/>
      </c>
      <c r="O10">
        <f>IFERROR(N10+L10*0.01,0)</f>
        <v/>
      </c>
      <c r="P10">
        <f>IF(O10=0,"无版本",INT(O10)&amp;"."&amp;INT(MOD(O10,1)*10)&amp;"."&amp;MOD(INT(MOD(O10,1)*10),10))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8" customWidth="1" min="4" max="4"/>
    <col width="10" customWidth="1" min="5" max="5"/>
    <col width="10" customWidth="1" min="6" max="6"/>
    <col width="30" customWidth="1" min="7" max="7"/>
    <col width="10" customWidth="1" min="8" max="8"/>
    <col width="10" customWidth="1" min="9" max="9"/>
    <col width="25" customWidth="1" min="10" max="10"/>
    <col width="35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序号</t>
        </is>
      </c>
      <c r="B1" t="inlineStr">
        <is>
          <t>软件名称</t>
        </is>
      </c>
      <c r="C1" t="inlineStr">
        <is>
          <t>版本号</t>
        </is>
      </c>
      <c r="D1" t="inlineStr">
        <is>
          <t>装载日期</t>
        </is>
      </c>
      <c r="E1" t="inlineStr">
        <is>
          <t>操作类型</t>
        </is>
      </c>
      <c r="F1" t="inlineStr">
        <is>
          <t>目标IP</t>
        </is>
      </c>
      <c r="G1" t="inlineStr">
        <is>
          <t>操作人员</t>
        </is>
      </c>
      <c r="H1" t="inlineStr">
        <is>
          <t>操作验证</t>
        </is>
      </c>
      <c r="I1" t="inlineStr">
        <is>
          <t>验证人员</t>
        </is>
      </c>
      <c r="J1" t="inlineStr">
        <is>
          <t>备注</t>
        </is>
      </c>
      <c r="K1" t="inlineStr">
        <is>
          <t>迭代次数 N</t>
        </is>
      </c>
      <c r="L1" t="inlineStr">
        <is>
          <t>首次初始版本</t>
        </is>
      </c>
      <c r="M1" t="inlineStr">
        <is>
          <t>计算小数</t>
        </is>
      </c>
      <c r="N1" t="inlineStr">
        <is>
          <t>版本计算</t>
        </is>
      </c>
      <c r="O1" t="inlineStr">
        <is>
          <t>标准版本号</t>
        </is>
      </c>
    </row>
    <row r="2">
      <c r="A2" t="n">
        <v>1</v>
      </c>
      <c r="B2" t="inlineStr">
        <is>
          <t>智能调服务</t>
        </is>
      </c>
      <c r="C2" t="inlineStr">
        <is>
          <t>0.0.0</t>
        </is>
      </c>
      <c r="D2" t="inlineStr">
        <is>
          <t>2026/3/11 22:00</t>
        </is>
      </c>
      <c r="E2" t="inlineStr">
        <is>
          <t>更新</t>
        </is>
      </c>
      <c r="F2" t="inlineStr">
        <is>
          <t>10.46.102.85、10.46.102.86</t>
        </is>
      </c>
      <c r="G2">
        <f>VLOOKUP(B2,软件名称和目标IP!$B:$F,4,FALSE)</f>
        <v/>
      </c>
      <c r="H2" t="inlineStr">
        <is>
          <t>正常</t>
        </is>
      </c>
      <c r="I2" t="inlineStr">
        <is>
          <t>林子旺</t>
        </is>
      </c>
      <c r="J2">
        <f>"监控综合应用平台"&amp;YEAR(D2)&amp;"月"&amp;DAY(D2)&amp;"日"&amp;E2&amp;"申请"</f>
        <v/>
      </c>
      <c r="K2">
        <f>COUNTIF($B$2:B2,B2)-1</f>
        <v/>
      </c>
      <c r="L2">
        <f>IFERROR(VLOOKUP(B2,初始版本号!$A:$B,2,0),"未匹配软件")</f>
        <v/>
      </c>
      <c r="M2">
        <f>IFERROR(LEFT(L2,FIND(".",L2)-1)+MID(L2,FIND(".",L2)+1,FIND(".",L2,FIND(".",L2)+1)-FIND(".",L2)-1)/10+RIGHT(L2,LEN(L2)-FIND(".",L2,FIND(".",L2)+1))/100,0)</f>
        <v/>
      </c>
      <c r="N2">
        <f>IFERROR(M2+K2*0.01,0)</f>
        <v/>
      </c>
      <c r="O2">
        <f>IF(N2=0,"无版本",INT(N2)&amp;"."&amp;INT(MOD(N2,1)*10)&amp;"."&amp;MOD(INT(MOD(N2,1)*10),10))</f>
        <v/>
      </c>
    </row>
    <row r="3">
      <c r="A3" t="n">
        <v>2</v>
      </c>
      <c r="B3" t="inlineStr">
        <is>
          <t>智能调服务</t>
        </is>
      </c>
      <c r="C3" t="inlineStr">
        <is>
          <t>1.0.0</t>
        </is>
      </c>
      <c r="D3" t="inlineStr">
        <is>
          <t>2026/4/2 22:00</t>
        </is>
      </c>
      <c r="E3" t="inlineStr">
        <is>
          <t>更新</t>
        </is>
      </c>
      <c r="F3" t="inlineStr">
        <is>
          <t>10.46.102.85、10.46.102.86</t>
        </is>
      </c>
      <c r="G3">
        <f>VLOOKUP(B3,软件名称和目标IP!$B:$F,4,FALSE)</f>
        <v/>
      </c>
      <c r="H3" t="inlineStr">
        <is>
          <t>正常</t>
        </is>
      </c>
      <c r="I3" t="inlineStr">
        <is>
          <t>林子旺</t>
        </is>
      </c>
      <c r="J3">
        <f>"监控综合应用平台"&amp;YEAR(D3)&amp;"月"&amp;DAY(D3)&amp;"日"&amp;E3&amp;"申请"</f>
        <v/>
      </c>
      <c r="K3">
        <f>COUNTIF($B$2:B3,B3)-1</f>
        <v/>
      </c>
      <c r="L3">
        <f>IFERROR(VLOOKUP(B3,初始版本号!$A:$B,2,0),"未匹配软件")</f>
        <v/>
      </c>
      <c r="M3">
        <f>IFERROR(LEFT(L3,FIND(".",L3)-1)+MID(L3,FIND(".",L3)+1,FIND(".",L3,FIND(".",L3)+1)-FIND(".",L3)-1)/10+RIGHT(L3,LEN(L3)-FIND(".",L3,FIND(".",L3)+1))/100,0)</f>
        <v/>
      </c>
      <c r="N3">
        <f>IFERROR(M3+K3*0.01,0)</f>
        <v/>
      </c>
      <c r="O3">
        <f>IF(N3=0,"无版本",INT(N3)&amp;"."&amp;INT(MOD(N3,1)*10)&amp;"."&amp;MOD(INT(MOD(N3,1)*10),10))</f>
        <v/>
      </c>
    </row>
    <row r="4">
      <c r="A4" t="n">
        <v>3</v>
      </c>
      <c r="B4" t="inlineStr">
        <is>
          <t>省内工单服务</t>
        </is>
      </c>
      <c r="C4" t="inlineStr">
        <is>
          <t>0.0.0</t>
        </is>
      </c>
      <c r="D4" t="inlineStr">
        <is>
          <t>2026/4/15 22:00</t>
        </is>
      </c>
      <c r="E4" t="inlineStr">
        <is>
          <t>更新</t>
        </is>
      </c>
      <c r="F4" t="inlineStr">
        <is>
          <t>10.44.225.197、10.43.118.48、10.43.118.47、10.44.225.30、10.44.225.31、10.44.225.33</t>
        </is>
      </c>
      <c r="G4">
        <f>VLOOKUP(B4,软件名称和目标IP!$B:$F,4,FALSE)</f>
        <v/>
      </c>
      <c r="H4" t="inlineStr">
        <is>
          <t>正常</t>
        </is>
      </c>
      <c r="I4" t="inlineStr">
        <is>
          <t>林子旺</t>
        </is>
      </c>
      <c r="J4">
        <f>"监控综合应用平台"&amp;YEAR(D4)&amp;"月"&amp;DAY(D4)&amp;"日"&amp;E4&amp;"申请"</f>
        <v/>
      </c>
      <c r="K4">
        <f>COUNTIF($B$2:B4,B4)-1</f>
        <v/>
      </c>
      <c r="L4">
        <f>IFERROR(VLOOKUP(B4,初始版本号!$A:$B,2,0),"未匹配软件")</f>
        <v/>
      </c>
      <c r="M4">
        <f>IFERROR(LEFT(L4,FIND(".",L4)-1)+MID(L4,FIND(".",L4)+1,FIND(".",L4,FIND(".",L4)+1)-FIND(".",L4)-1)/10+RIGHT(L4,LEN(L4)-FIND(".",L4,FIND(".",L4)+1))/100,0)</f>
        <v/>
      </c>
      <c r="N4">
        <f>IFERROR(M4+K4*0.01,0)</f>
        <v/>
      </c>
      <c r="O4">
        <f>IF(N4=0,"无版本",INT(N4)&amp;"."&amp;INT(MOD(N4,1)*10)&amp;"."&amp;MOD(INT(MOD(N4,1)*10),10))</f>
        <v/>
      </c>
    </row>
    <row r="5">
      <c r="A5" t="n">
        <v>4</v>
      </c>
      <c r="B5" t="inlineStr">
        <is>
          <t>智能调服务</t>
        </is>
      </c>
      <c r="C5" t="inlineStr">
        <is>
          <t>2.0.0</t>
        </is>
      </c>
      <c r="D5" t="inlineStr">
        <is>
          <t>2026/4/15 22:00</t>
        </is>
      </c>
      <c r="E5" t="inlineStr">
        <is>
          <t>更新</t>
        </is>
      </c>
      <c r="F5" t="inlineStr">
        <is>
          <t>10.46.102.85、10.46.102.86</t>
        </is>
      </c>
      <c r="G5">
        <f>VLOOKUP(B5,软件名称和目标IP!$B:$F,4,FALSE)</f>
        <v/>
      </c>
      <c r="H5" t="inlineStr">
        <is>
          <t>正常</t>
        </is>
      </c>
      <c r="I5" t="inlineStr">
        <is>
          <t>林子旺</t>
        </is>
      </c>
      <c r="J5">
        <f>"监控综合应用平台"&amp;YEAR(D5)&amp;"月"&amp;DAY(D5)&amp;"日"&amp;E5&amp;"申请"</f>
        <v/>
      </c>
      <c r="K5">
        <f>COUNTIF($B$2:B5,B5)-1</f>
        <v/>
      </c>
      <c r="L5">
        <f>IFERROR(VLOOKUP(B5,初始版本号!$A:$B,2,0),"未匹配软件")</f>
        <v/>
      </c>
      <c r="M5">
        <f>IFERROR(LEFT(L5,FIND(".",L5)-1)+MID(L5,FIND(".",L5)+1,FIND(".",L5,FIND(".",L5)+1)-FIND(".",L5)-1)/10+RIGHT(L5,LEN(L5)-FIND(".",L5,FIND(".",L5)+1))/100,0)</f>
        <v/>
      </c>
      <c r="N5">
        <f>IFERROR(M5+K5*0.01,0)</f>
        <v/>
      </c>
      <c r="O5">
        <f>IF(N5=0,"无版本",INT(N5)&amp;"."&amp;INT(MOD(N5,1)*10)&amp;"."&amp;MOD(INT(MOD(N5,1)*10),10))</f>
        <v/>
      </c>
    </row>
    <row r="6">
      <c r="A6" t="n">
        <v>5</v>
      </c>
      <c r="B6" t="inlineStr">
        <is>
          <t>智能调服务</t>
        </is>
      </c>
      <c r="C6" t="inlineStr">
        <is>
          <t>3.0.0</t>
        </is>
      </c>
      <c r="D6" t="inlineStr">
        <is>
          <t>2026/4/23 22:00</t>
        </is>
      </c>
      <c r="E6" t="inlineStr">
        <is>
          <t>更新</t>
        </is>
      </c>
      <c r="F6" t="inlineStr">
        <is>
          <t>10.46.102.85、10.46.102.86</t>
        </is>
      </c>
      <c r="G6">
        <f>VLOOKUP(B6,软件名称和目标IP!$B:$F,4,FALSE)</f>
        <v/>
      </c>
      <c r="H6" t="inlineStr">
        <is>
          <t>正常</t>
        </is>
      </c>
      <c r="I6" t="inlineStr">
        <is>
          <t>林子旺</t>
        </is>
      </c>
      <c r="J6">
        <f>"监控综合应用平台"&amp;YEAR(D6)&amp;"月"&amp;DAY(D6)&amp;"日"&amp;E6&amp;"申请"</f>
        <v/>
      </c>
      <c r="K6">
        <f>COUNTIF($B$2:B6,B6)-1</f>
        <v/>
      </c>
      <c r="L6">
        <f>IFERROR(VLOOKUP(B6,初始版本号!$A:$B,2,0),"未匹配软件")</f>
        <v/>
      </c>
      <c r="M6">
        <f>IFERROR(LEFT(L6,FIND(".",L6)-1)+MID(L6,FIND(".",L6)+1,FIND(".",L6,FIND(".",L6)+1)-FIND(".",L6)-1)/10+RIGHT(L6,LEN(L6)-FIND(".",L6,FIND(".",L6)+1))/100,0)</f>
        <v/>
      </c>
      <c r="N6">
        <f>IFERROR(M6+K6*0.01,0)</f>
        <v/>
      </c>
      <c r="O6">
        <f>IF(N6=0,"无版本",INT(N6)&amp;"."&amp;INT(MOD(N6,1)*10)&amp;"."&amp;MOD(INT(MOD(N6,1)*10),10))</f>
        <v/>
      </c>
    </row>
    <row r="7">
      <c r="A7" t="n">
        <v>6</v>
      </c>
      <c r="B7" t="inlineStr">
        <is>
          <t>省内工单服务</t>
        </is>
      </c>
      <c r="C7" t="inlineStr">
        <is>
          <t>1.0.0</t>
        </is>
      </c>
      <c r="D7" t="inlineStr">
        <is>
          <t>2026/5/7 22:00</t>
        </is>
      </c>
      <c r="E7" t="inlineStr">
        <is>
          <t>更新</t>
        </is>
      </c>
      <c r="F7" t="inlineStr">
        <is>
          <t>10.44.225.197、10.43.118.48、10.43.118.47、10.44.225.30、10.44.225.31、10.44.225.33</t>
        </is>
      </c>
      <c r="G7">
        <f>VLOOKUP(B7,软件名称和目标IP!$B:$F,4,FALSE)</f>
        <v/>
      </c>
      <c r="H7" t="inlineStr">
        <is>
          <t>正常</t>
        </is>
      </c>
      <c r="I7" t="inlineStr">
        <is>
          <t>林子旺</t>
        </is>
      </c>
      <c r="J7">
        <f>"监控综合应用平台"&amp;YEAR(D7)&amp;"月"&amp;DAY(D7)&amp;"日"&amp;E7&amp;"申请"</f>
        <v/>
      </c>
      <c r="K7">
        <f>COUNTIF($B$2:B7,B7)-1</f>
        <v/>
      </c>
      <c r="L7">
        <f>IFERROR(VLOOKUP(B7,初始版本号!$A:$B,2,0),"未匹配软件")</f>
        <v/>
      </c>
      <c r="M7">
        <f>IFERROR(LEFT(L7,FIND(".",L7)-1)+MID(L7,FIND(".",L7)+1,FIND(".",L7,FIND(".",L7)+1)-FIND(".",L7)-1)/10+RIGHT(L7,LEN(L7)-FIND(".",L7,FIND(".",L7)+1))/100,0)</f>
        <v/>
      </c>
      <c r="N7">
        <f>IFERROR(M7+K7*0.01,0)</f>
        <v/>
      </c>
      <c r="O7">
        <f>IF(N7=0,"无版本",INT(N7)&amp;"."&amp;INT(MOD(N7,1)*10)&amp;"."&amp;MOD(INT(MOD(N7,1)*10),10))</f>
        <v/>
      </c>
    </row>
    <row r="8">
      <c r="A8" t="n">
        <v>7</v>
      </c>
      <c r="B8" t="inlineStr">
        <is>
          <t>智能调服务</t>
        </is>
      </c>
      <c r="C8" t="inlineStr">
        <is>
          <t>4.0.0</t>
        </is>
      </c>
      <c r="D8" t="inlineStr">
        <is>
          <t>2026/5/7 22:00</t>
        </is>
      </c>
      <c r="E8" t="inlineStr">
        <is>
          <t>更新</t>
        </is>
      </c>
      <c r="F8" t="inlineStr">
        <is>
          <t>10.46.102.85、10.46.102.86</t>
        </is>
      </c>
      <c r="G8">
        <f>VLOOKUP(B8,软件名称和目标IP!$B:$F,4,FALSE)</f>
        <v/>
      </c>
      <c r="H8" t="inlineStr">
        <is>
          <t>正常</t>
        </is>
      </c>
      <c r="I8" t="inlineStr">
        <is>
          <t>林子旺</t>
        </is>
      </c>
      <c r="J8">
        <f>"监控综合应用平台"&amp;YEAR(D8)&amp;"月"&amp;DAY(D8)&amp;"日"&amp;E8&amp;"申请"</f>
        <v/>
      </c>
      <c r="K8">
        <f>COUNTIF($B$2:B8,B8)-1</f>
        <v/>
      </c>
      <c r="L8">
        <f>IFERROR(VLOOKUP(B8,初始版本号!$A:$B,2,0),"未匹配软件")</f>
        <v/>
      </c>
      <c r="M8">
        <f>IFERROR(LEFT(L8,FIND(".",L8)-1)+MID(L8,FIND(".",L8)+1,FIND(".",L8,FIND(".",L8)+1)-FIND(".",L8)-1)/10+RIGHT(L8,LEN(L8)-FIND(".",L8,FIND(".",L8)+1))/100,0)</f>
        <v/>
      </c>
      <c r="N8">
        <f>IFERROR(M8+K8*0.01,0)</f>
        <v/>
      </c>
      <c r="O8">
        <f>IF(N8=0,"无版本",INT(N8)&amp;"."&amp;INT(MOD(N8,1)*10)&amp;"."&amp;MOD(INT(MOD(N8,1)*10),10))</f>
        <v/>
      </c>
    </row>
    <row r="9">
      <c r="A9" t="n">
        <v>8</v>
      </c>
      <c r="B9" t="inlineStr">
        <is>
          <t>省内工单服务</t>
        </is>
      </c>
      <c r="C9" t="inlineStr">
        <is>
          <t>2.0.0</t>
        </is>
      </c>
      <c r="D9" t="inlineStr">
        <is>
          <t>2026/5/20 22:00</t>
        </is>
      </c>
      <c r="E9" t="inlineStr">
        <is>
          <t>更新</t>
        </is>
      </c>
      <c r="F9" t="inlineStr">
        <is>
          <t>10.44.225.197、10.43.118.48、10.43.118.47、10.44.225.30、10.44.225.31、10.44.225.33</t>
        </is>
      </c>
      <c r="G9">
        <f>VLOOKUP(B9,软件名称和目标IP!$B:$F,4,FALSE)</f>
        <v/>
      </c>
      <c r="H9" t="inlineStr">
        <is>
          <t>正常</t>
        </is>
      </c>
      <c r="I9" t="inlineStr">
        <is>
          <t>林子旺</t>
        </is>
      </c>
      <c r="J9">
        <f>"监控综合应用平台"&amp;YEAR(D9)&amp;"月"&amp;DAY(D9)&amp;"日"&amp;E9&amp;"申请"</f>
        <v/>
      </c>
      <c r="K9">
        <f>COUNTIF($B$2:B9,B9)-1</f>
        <v/>
      </c>
      <c r="L9">
        <f>IFERROR(VLOOKUP(B9,初始版本号!$A:$B,2,0),"未匹配软件")</f>
        <v/>
      </c>
      <c r="M9">
        <f>IFERROR(LEFT(L9,FIND(".",L9)-1)+MID(L9,FIND(".",L9)+1,FIND(".",L9,FIND(".",L9)+1)-FIND(".",L9)-1)/10+RIGHT(L9,LEN(L9)-FIND(".",L9,FIND(".",L9)+1))/100,0)</f>
        <v/>
      </c>
      <c r="N9">
        <f>IFERROR(M9+K9*0.01,0)</f>
        <v/>
      </c>
      <c r="O9">
        <f>IF(N9=0,"无版本",INT(N9)&amp;"."&amp;INT(MOD(N9,1)*10)&amp;"."&amp;MOD(INT(MOD(N9,1)*10),10))</f>
        <v/>
      </c>
    </row>
    <row r="10">
      <c r="A10" t="n">
        <v>9</v>
      </c>
      <c r="B10" t="inlineStr">
        <is>
          <t>智能调服务</t>
        </is>
      </c>
      <c r="C10" t="inlineStr">
        <is>
          <t>5.0.0</t>
        </is>
      </c>
      <c r="D10" t="inlineStr">
        <is>
          <t>2026/5/20 22:00</t>
        </is>
      </c>
      <c r="E10" t="inlineStr">
        <is>
          <t>更新</t>
        </is>
      </c>
      <c r="F10" t="inlineStr">
        <is>
          <t>10.46.102.85、10.46.102.86</t>
        </is>
      </c>
      <c r="G10">
        <f>VLOOKUP(B10,软件名称和目标IP!$B:$F,4,FALSE)</f>
        <v/>
      </c>
      <c r="H10" t="inlineStr">
        <is>
          <t>正常</t>
        </is>
      </c>
      <c r="I10" t="inlineStr">
        <is>
          <t>林子旺</t>
        </is>
      </c>
      <c r="J10">
        <f>"监控综合应用平台"&amp;YEAR(D10)&amp;"月"&amp;DAY(D10)&amp;"日"&amp;E10&amp;"申请"</f>
        <v/>
      </c>
      <c r="K10">
        <f>COUNTIF($B$2:B10,B10)-1</f>
        <v/>
      </c>
      <c r="L10">
        <f>IFERROR(VLOOKUP(B10,初始版本号!$A:$B,2,0),"未匹配软件")</f>
        <v/>
      </c>
      <c r="M10">
        <f>IFERROR(LEFT(L10,FIND(".",L10)-1)+MID(L10,FIND(".",L10)+1,FIND(".",L10,FIND(".",L10)+1)-FIND(".",L10)-1)/10+RIGHT(L10,LEN(L10)-FIND(".",L10,FIND(".",L10)+1))/100,0)</f>
        <v/>
      </c>
      <c r="N10">
        <f>IFERROR(M10+K10*0.01,0)</f>
        <v/>
      </c>
      <c r="O10">
        <f>IF(N10=0,"无版本",INT(N10)&amp;"."&amp;INT(MOD(N10,1)*10)&amp;"."&amp;MOD(INT(MOD(N10,1)*10),10))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软件名称</t>
        </is>
      </c>
      <c r="B1" t="inlineStr">
        <is>
          <t>初始化基准版本</t>
        </is>
      </c>
    </row>
    <row r="2">
      <c r="A2" t="inlineStr">
        <is>
          <t>nacos</t>
        </is>
      </c>
      <c r="B2" t="inlineStr">
        <is>
          <t>2.5.2</t>
        </is>
      </c>
    </row>
    <row r="3">
      <c r="A3" t="inlineStr">
        <is>
          <t>事件查询服务</t>
        </is>
      </c>
      <c r="B3" t="inlineStr">
        <is>
          <t>1.1.5</t>
        </is>
      </c>
    </row>
    <row r="4">
      <c r="A4" t="inlineStr">
        <is>
          <t>产品重定义服务</t>
        </is>
      </c>
      <c r="B4" t="inlineStr">
        <is>
          <t>1.1.5</t>
        </is>
      </c>
    </row>
    <row r="5">
      <c r="A5" t="inlineStr">
        <is>
          <t>分级调服务</t>
        </is>
      </c>
      <c r="B5" t="inlineStr">
        <is>
          <t>1.1.7</t>
        </is>
      </c>
    </row>
    <row r="6">
      <c r="A6" t="inlineStr">
        <is>
          <t>告警数据采集</t>
        </is>
      </c>
      <c r="B6" t="inlineStr">
        <is>
          <t>1.1.5</t>
        </is>
      </c>
    </row>
    <row r="7">
      <c r="A7" t="inlineStr">
        <is>
          <t>复盘服务</t>
        </is>
      </c>
      <c r="B7" t="inlineStr">
        <is>
          <t>1.1.0</t>
        </is>
      </c>
    </row>
    <row r="8">
      <c r="A8" t="inlineStr">
        <is>
          <t>实例化 es 入库</t>
        </is>
      </c>
      <c r="B8" t="inlineStr">
        <is>
          <t>1.1.5</t>
        </is>
      </c>
    </row>
    <row r="9">
      <c r="A9" t="inlineStr">
        <is>
          <t>智能调服务</t>
        </is>
      </c>
      <c r="B9" t="inlineStr">
        <is>
          <t>1.1.7</t>
        </is>
      </c>
    </row>
    <row r="10">
      <c r="A10" t="inlineStr">
        <is>
          <t>省内工单服务</t>
        </is>
      </c>
      <c r="B10" t="inlineStr">
        <is>
          <t>1.4.6</t>
        </is>
      </c>
    </row>
    <row r="11">
      <c r="A11" t="inlineStr">
        <is>
          <t>移动易运维</t>
        </is>
      </c>
      <c r="B11" t="inlineStr">
        <is>
          <t>1.1.1</t>
        </is>
      </c>
    </row>
    <row r="12">
      <c r="A12" t="inlineStr">
        <is>
          <t>规则匹配服务</t>
        </is>
      </c>
      <c r="B12" t="inlineStr">
        <is>
          <t>1.1.5</t>
        </is>
      </c>
    </row>
    <row r="13">
      <c r="A13" t="inlineStr">
        <is>
          <t>重定义服务</t>
        </is>
      </c>
      <c r="B13" t="inlineStr">
        <is>
          <t>1.1.5</t>
        </is>
      </c>
    </row>
    <row r="14">
      <c r="A14" t="inlineStr">
        <is>
          <t>集团工单服务</t>
        </is>
      </c>
      <c r="B14" t="inlineStr">
        <is>
          <t>1.1.1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90" customWidth="1" min="3" max="3"/>
    <col width="10" customWidth="1" min="4" max="4"/>
    <col width="10" customWidth="1" min="5" max="5"/>
    <col width="12" customWidth="1" min="6" max="6"/>
  </cols>
  <sheetData>
    <row r="1">
      <c r="A1" t="inlineStr">
        <is>
          <t>序号</t>
        </is>
      </c>
      <c r="B1" t="inlineStr">
        <is>
          <t>软件名称</t>
        </is>
      </c>
      <c r="C1" t="inlineStr">
        <is>
          <t>目标IP</t>
        </is>
      </c>
      <c r="D1" t="inlineStr">
        <is>
          <t>操作人员</t>
        </is>
      </c>
      <c r="E1" t="inlineStr">
        <is>
          <t>验证人员</t>
        </is>
      </c>
      <c r="F1" t="inlineStr">
        <is>
          <t>版本号</t>
        </is>
      </c>
    </row>
    <row r="2">
      <c r="A2" t="n">
        <v>1</v>
      </c>
      <c r="B2" t="inlineStr">
        <is>
          <t>nacos</t>
        </is>
      </c>
      <c r="C2" t="inlineStr">
        <is>
          <t>10.43.52.58、10.43.52.59、10.43.149.199</t>
        </is>
      </c>
      <c r="D2" t="inlineStr">
        <is>
          <t>张保全</t>
        </is>
      </c>
      <c r="E2" t="inlineStr">
        <is>
          <t>林子旺</t>
        </is>
      </c>
      <c r="F2" t="inlineStr">
        <is>
          <t>2.5.2</t>
        </is>
      </c>
    </row>
    <row r="3">
      <c r="A3" t="n">
        <v>2</v>
      </c>
      <c r="B3" t="inlineStr">
        <is>
          <t>事件查询服务</t>
        </is>
      </c>
      <c r="C3" t="inlineStr">
        <is>
          <t>10.43.118.45、10.43.118.46、10.44.225.116</t>
        </is>
      </c>
      <c r="D3" t="inlineStr">
        <is>
          <t>高胜永</t>
        </is>
      </c>
      <c r="E3" t="inlineStr">
        <is>
          <t>林子旺</t>
        </is>
      </c>
      <c r="F3" t="inlineStr">
        <is>
          <t>1.1.5</t>
        </is>
      </c>
    </row>
    <row r="4">
      <c r="A4" t="n">
        <v>3</v>
      </c>
      <c r="B4" t="inlineStr">
        <is>
          <t>产品重定义服务</t>
        </is>
      </c>
      <c r="C4" t="inlineStr">
        <is>
          <t>10.43.118.45、10.43.118.46、10.44.225.116</t>
        </is>
      </c>
      <c r="D4" t="inlineStr">
        <is>
          <t>高胜永</t>
        </is>
      </c>
      <c r="E4" t="inlineStr">
        <is>
          <t>林子旺</t>
        </is>
      </c>
      <c r="F4" t="inlineStr">
        <is>
          <t>1.1.5</t>
        </is>
      </c>
    </row>
    <row r="5">
      <c r="A5" t="n">
        <v>4</v>
      </c>
      <c r="B5" t="inlineStr">
        <is>
          <t>分级调服务</t>
        </is>
      </c>
      <c r="C5" t="inlineStr">
        <is>
          <t>10.43.52.51、10.43.52.52、10.43.52.53、10.43.52.54</t>
        </is>
      </c>
      <c r="D5" t="inlineStr">
        <is>
          <t>高胜永</t>
        </is>
      </c>
      <c r="E5" t="inlineStr">
        <is>
          <t>林子旺</t>
        </is>
      </c>
      <c r="F5" t="inlineStr">
        <is>
          <t>1.1.7</t>
        </is>
      </c>
    </row>
    <row r="6">
      <c r="A6" t="n">
        <v>5</v>
      </c>
      <c r="B6" t="inlineStr">
        <is>
          <t>告警数据采集</t>
        </is>
      </c>
      <c r="C6" t="inlineStr">
        <is>
          <t>10.43.118.45、10.43.118.46、10.44.225.116</t>
        </is>
      </c>
      <c r="D6" t="inlineStr">
        <is>
          <t>高胜永</t>
        </is>
      </c>
      <c r="E6" t="inlineStr">
        <is>
          <t>林子旺</t>
        </is>
      </c>
      <c r="F6" t="inlineStr">
        <is>
          <t>1.1.5</t>
        </is>
      </c>
    </row>
    <row r="7">
      <c r="A7" t="n">
        <v>6</v>
      </c>
      <c r="B7" t="inlineStr">
        <is>
          <t>复盘服务</t>
        </is>
      </c>
      <c r="C7" t="inlineStr">
        <is>
          <t>10.44.225.30、10.44.225.31、10.44.225.33、10.46.102.83、10.46.102.84</t>
        </is>
      </c>
      <c r="D7" t="inlineStr">
        <is>
          <t>金文辉</t>
        </is>
      </c>
      <c r="E7" t="inlineStr">
        <is>
          <t>林子旺</t>
        </is>
      </c>
      <c r="F7" t="inlineStr">
        <is>
          <t>1.1.0</t>
        </is>
      </c>
    </row>
    <row r="8">
      <c r="A8" t="n">
        <v>7</v>
      </c>
      <c r="B8" t="inlineStr">
        <is>
          <t>实例化 es 入库</t>
        </is>
      </c>
      <c r="C8" t="inlineStr">
        <is>
          <t>10.43.118.45、10.43.118.46、10.44.225.116</t>
        </is>
      </c>
      <c r="D8" t="inlineStr">
        <is>
          <t>高胜永</t>
        </is>
      </c>
      <c r="E8" t="inlineStr">
        <is>
          <t>林子旺</t>
        </is>
      </c>
      <c r="F8" t="inlineStr">
        <is>
          <t>1.1.5</t>
        </is>
      </c>
    </row>
    <row r="9">
      <c r="A9" t="n">
        <v>8</v>
      </c>
      <c r="B9" t="inlineStr">
        <is>
          <t>智能调服务</t>
        </is>
      </c>
      <c r="C9" t="inlineStr">
        <is>
          <t>10.46.102.85、10.46.102.86</t>
        </is>
      </c>
      <c r="D9" t="inlineStr">
        <is>
          <t>李金山</t>
        </is>
      </c>
      <c r="E9" t="inlineStr">
        <is>
          <t>林子旺</t>
        </is>
      </c>
      <c r="F9" t="inlineStr">
        <is>
          <t>1.1.7</t>
        </is>
      </c>
    </row>
    <row r="10">
      <c r="A10" t="n">
        <v>9</v>
      </c>
      <c r="B10" t="inlineStr">
        <is>
          <t>省内工单服务</t>
        </is>
      </c>
      <c r="C10" t="inlineStr">
        <is>
          <t>10.44.225.197、10.43.118.48、10.43.118.47、10.44.225.30、10.44.225.31、10.44.225.33</t>
        </is>
      </c>
      <c r="D10" t="inlineStr">
        <is>
          <t>姚翔</t>
        </is>
      </c>
      <c r="E10" t="inlineStr">
        <is>
          <t>林子旺</t>
        </is>
      </c>
      <c r="F10" t="inlineStr">
        <is>
          <t>1.4.6</t>
        </is>
      </c>
    </row>
    <row r="11">
      <c r="A11" t="n">
        <v>10</v>
      </c>
      <c r="B11" t="inlineStr">
        <is>
          <t>移动易运维</t>
        </is>
      </c>
      <c r="C11" t="inlineStr">
        <is>
          <t>10.43.52.58、10.43.52.59、10.43.149.199</t>
        </is>
      </c>
      <c r="D11" t="inlineStr">
        <is>
          <t>张保全</t>
        </is>
      </c>
      <c r="E11" t="inlineStr">
        <is>
          <t>林子旺</t>
        </is>
      </c>
      <c r="F11" t="inlineStr">
        <is>
          <t>1.1.1</t>
        </is>
      </c>
    </row>
    <row r="12">
      <c r="A12" t="n">
        <v>11</v>
      </c>
      <c r="B12" t="inlineStr">
        <is>
          <t>规则匹配服务</t>
        </is>
      </c>
      <c r="C12" t="inlineStr">
        <is>
          <t>10.43.118.45、10.43.118.46、10.44.225.116</t>
        </is>
      </c>
      <c r="D12" t="inlineStr">
        <is>
          <t>高胜永</t>
        </is>
      </c>
      <c r="E12" t="inlineStr">
        <is>
          <t>林子旺</t>
        </is>
      </c>
      <c r="F12" t="inlineStr">
        <is>
          <t>1.1.5</t>
        </is>
      </c>
    </row>
    <row r="13">
      <c r="A13" t="n">
        <v>12</v>
      </c>
      <c r="B13" t="inlineStr">
        <is>
          <t>重定义服务</t>
        </is>
      </c>
      <c r="C13" t="inlineStr">
        <is>
          <t>10.43.118.45、10.43.118.46、10.44.225.116</t>
        </is>
      </c>
      <c r="D13" t="inlineStr">
        <is>
          <t>高胜永</t>
        </is>
      </c>
      <c r="E13" t="inlineStr">
        <is>
          <t>林子旺</t>
        </is>
      </c>
      <c r="F13" t="inlineStr">
        <is>
          <t>1.1.5</t>
        </is>
      </c>
    </row>
    <row r="14">
      <c r="A14" t="n">
        <v>13</v>
      </c>
      <c r="B14" t="inlineStr">
        <is>
          <t>集团工单服务</t>
        </is>
      </c>
      <c r="C14" t="inlineStr">
        <is>
          <t>10.44.225.32、10.44.225.39、10.46.102.90、10.46.102.91、10.46.102.92</t>
        </is>
      </c>
      <c r="D14" t="inlineStr">
        <is>
          <t>金文辉</t>
        </is>
      </c>
      <c r="E14" t="inlineStr">
        <is>
          <t>林子旺</t>
        </is>
      </c>
      <c r="F14" t="inlineStr">
        <is>
          <t>1.1.1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2026-05-29T10:08:26Z</dcterms:created>
  <dcterms:modified xmlns:dcterms="http://purl.org/dc/terms/" xmlns:xsi="http://www.w3.org/2001/XMLSchema-instance" xsi:type="dcterms:W3CDTF">2026-05-29T10:08:26Z</dcterms:modified>
</cp:coreProperties>
</file>