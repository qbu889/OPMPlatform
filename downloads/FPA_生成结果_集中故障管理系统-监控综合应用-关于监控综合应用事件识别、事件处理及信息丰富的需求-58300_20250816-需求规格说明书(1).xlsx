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60" windowHeight="11500" tabRatio="600" firstSheet="0" activeTab="1" autoFilterDateGrouping="1"/>
  </bookViews>
  <sheets>
    <sheet xmlns:r="http://schemas.openxmlformats.org/officeDocument/2006/relationships" name="1. 填写说明" sheetId="1" state="visible" r:id="rId1"/>
    <sheet xmlns:r="http://schemas.openxmlformats.org/officeDocument/2006/relationships" name="2. 规模估算" sheetId="2" state="visible" r:id="rId2"/>
    <sheet xmlns:r="http://schemas.openxmlformats.org/officeDocument/2006/relationships" name="3. 调整因子" sheetId="3" state="visible" r:id="rId3"/>
    <sheet xmlns:r="http://schemas.openxmlformats.org/officeDocument/2006/relationships" name="4. 评估结果" sheetId="4" state="visible" r:id="rId4"/>
  </sheets>
  <definedNames>
    <definedName name="_Toc260843610" localSheetId="1">'2. 规模估算'!#REF!</definedName>
    <definedName name="_Toc260843625" localSheetId="1">'2. 规模估算'!#REF!</definedName>
    <definedName name="_Toc392765432" localSheetId="1">'2. 规模估算'!#REF!</definedName>
    <definedName name="_Toc397109581" localSheetId="1">'2. 规模估算'!#REF!</definedName>
    <definedName name="_Toc397109586" localSheetId="1">'2. 规模估算'!#REF!</definedName>
    <definedName name="_Toc397109606" localSheetId="1">'2. 规模估算'!#REF!</definedName>
    <definedName name="_Toc397109619" localSheetId="1">'2. 规模估算'!#REF!</definedName>
    <definedName name="_Toc397109632" localSheetId="1">'2. 规模估算'!#REF!</definedName>
    <definedName name="_xlnm._FilterDatabase" localSheetId="1" hidden="1">'2. 规模估算'!$A$7:$L$139</definedName>
    <definedName name="_xlnm.Print_Area" localSheetId="2">'3. 调整因子'!$A$2:$E$91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_ "/>
    <numFmt numFmtId="166" formatCode="0_ "/>
    <numFmt numFmtId="167" formatCode="0.00_);[Red]\(0.00\)"/>
  </numFmts>
  <fonts count="45">
    <font>
      <name val="宋体"/>
      <charset val="134"/>
      <color theme="1"/>
      <sz val="11"/>
      <scheme val="minor"/>
    </font>
    <font>
      <name val="宋体"/>
      <charset val="134"/>
      <b val="1"/>
      <color theme="1"/>
      <sz val="24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1"/>
      <sz val="26"/>
      <scheme val="minor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b val="1"/>
      <color indexed="8"/>
      <sz val="10"/>
    </font>
    <font>
      <name val="宋体"/>
      <charset val="134"/>
      <color rgb="FF0070C0"/>
      <sz val="10"/>
    </font>
    <font>
      <name val="宋体"/>
      <charset val="134"/>
      <b val="1"/>
      <color indexed="8"/>
      <sz val="11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rgb="FFFF0000"/>
      <sz val="11"/>
    </font>
    <font>
      <name val="宋体"/>
      <charset val="134"/>
      <color theme="1"/>
      <sz val="10"/>
      <scheme val="minor"/>
    </font>
    <font>
      <name val="宋体"/>
      <charset val="134"/>
      <color theme="1"/>
      <sz val="8"/>
      <scheme val="minor"/>
    </font>
    <font>
      <name val="宋体"/>
      <charset val="134"/>
      <color theme="1"/>
      <sz val="10.5"/>
    </font>
    <font>
      <name val="宋体"/>
      <charset val="134"/>
      <b val="1"/>
      <color rgb="FFFF0000"/>
      <sz val="8"/>
      <scheme val="minor"/>
    </font>
    <font>
      <name val="宋体"/>
      <charset val="134"/>
      <color theme="1"/>
      <sz val="10.5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sz val="12"/>
      <scheme val="minor"/>
    </font>
    <font>
      <name val="宋体"/>
      <charset val="134"/>
      <b val="1"/>
      <color rgb="FFFF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12"/>
    </font>
    <font>
      <name val="宋体"/>
      <charset val="134"/>
      <sz val="9"/>
    </font>
    <font>
      <name val="宋体"/>
      <charset val="134"/>
      <b val="1"/>
      <sz val="9"/>
    </font>
  </fonts>
  <fills count="43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12" borderId="7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8" applyAlignment="1">
      <alignment vertical="center"/>
    </xf>
    <xf numFmtId="0" fontId="30" fillId="0" borderId="8" applyAlignment="1">
      <alignment vertical="center"/>
    </xf>
    <xf numFmtId="0" fontId="5" fillId="0" borderId="9" applyAlignment="1">
      <alignment vertical="center"/>
    </xf>
    <xf numFmtId="0" fontId="5" fillId="0" borderId="0" applyAlignment="1">
      <alignment vertical="center"/>
    </xf>
    <xf numFmtId="0" fontId="31" fillId="13" borderId="10" applyAlignment="1">
      <alignment vertical="center"/>
    </xf>
    <xf numFmtId="0" fontId="32" fillId="14" borderId="11" applyAlignment="1">
      <alignment vertical="center"/>
    </xf>
    <xf numFmtId="0" fontId="33" fillId="14" borderId="10" applyAlignment="1">
      <alignment vertical="center"/>
    </xf>
    <xf numFmtId="0" fontId="34" fillId="15" borderId="12" applyAlignment="1">
      <alignment vertical="center"/>
    </xf>
    <xf numFmtId="0" fontId="35" fillId="0" borderId="13" applyAlignment="1">
      <alignment vertical="center"/>
    </xf>
    <xf numFmtId="0" fontId="36" fillId="0" borderId="14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0" fillId="34" borderId="0" applyAlignment="1">
      <alignment vertical="center"/>
    </xf>
    <xf numFmtId="0" fontId="40" fillId="35" borderId="0" applyAlignment="1">
      <alignment vertical="center"/>
    </xf>
    <xf numFmtId="0" fontId="41" fillId="36" borderId="0" applyAlignment="1">
      <alignment vertical="center"/>
    </xf>
    <xf numFmtId="0" fontId="41" fillId="37" borderId="0" applyAlignment="1">
      <alignment vertical="center"/>
    </xf>
    <xf numFmtId="0" fontId="40" fillId="38" borderId="0" applyAlignment="1">
      <alignment vertical="center"/>
    </xf>
    <xf numFmtId="0" fontId="40" fillId="39" borderId="0" applyAlignment="1">
      <alignment vertical="center"/>
    </xf>
    <xf numFmtId="0" fontId="41" fillId="40" borderId="0" applyAlignment="1">
      <alignment vertical="center"/>
    </xf>
    <xf numFmtId="0" fontId="41" fillId="41" borderId="0" applyAlignment="1">
      <alignment vertical="center"/>
    </xf>
    <xf numFmtId="0" fontId="40" fillId="42" borderId="0" applyAlignment="1">
      <alignment vertical="center"/>
    </xf>
    <xf numFmtId="0" fontId="42" fillId="0" borderId="0"/>
    <xf numFmtId="0" fontId="0" fillId="0" borderId="0" applyAlignment="1">
      <alignment vertical="center"/>
    </xf>
    <xf numFmtId="0" fontId="12" fillId="0" borderId="0" applyAlignment="1">
      <alignment vertical="center"/>
    </xf>
  </cellStyleXfs>
  <cellXfs count="1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3" fillId="5" borderId="1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64" fontId="3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center"/>
    </xf>
    <xf numFmtId="164" fontId="5" fillId="5" borderId="1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justify" vertical="center" wrapText="1"/>
    </xf>
    <xf numFmtId="165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167" fontId="12" fillId="5" borderId="1" applyAlignment="1" pivotButton="0" quotePrefix="0" xfId="0">
      <alignment horizontal="center" vertical="center" wrapText="1"/>
    </xf>
    <xf numFmtId="0" fontId="13" fillId="2" borderId="1" applyAlignment="1" applyProtection="1" pivotButton="0" quotePrefix="0" xfId="0">
      <alignment horizontal="left" vertical="center"/>
      <protection locked="0" hidden="0"/>
    </xf>
    <xf numFmtId="167" fontId="14" fillId="5" borderId="1" applyAlignment="1" pivotButton="0" quotePrefix="0" xfId="0">
      <alignment horizontal="center" vertical="center" wrapText="1"/>
    </xf>
    <xf numFmtId="0" fontId="15" fillId="0" borderId="1" applyAlignment="1" applyProtection="1" pivotButton="0" quotePrefix="0" xfId="0">
      <alignment horizontal="left" vertical="center" wrapText="1"/>
      <protection locked="0" hidden="0"/>
    </xf>
    <xf numFmtId="0" fontId="15" fillId="0" borderId="1" applyAlignment="1" applyProtection="1" pivotButton="0" quotePrefix="0" xfId="0">
      <alignment horizontal="left" vertical="center"/>
      <protection locked="0" hidden="0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16" fillId="3" borderId="1" applyAlignment="1" applyProtection="1" pivotButton="0" quotePrefix="0" xfId="0">
      <alignment horizontal="center" vertical="center" wrapText="1"/>
      <protection locked="0" hidden="0"/>
    </xf>
    <xf numFmtId="0" fontId="0" fillId="9" borderId="1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pivotButton="0" quotePrefix="0" xfId="0">
      <alignment horizontal="justify" vertical="top" wrapText="1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4" fillId="3" borderId="1" applyAlignment="1" applyProtection="1" pivotButton="0" quotePrefix="0" xfId="0">
      <alignment horizontal="left" vertical="center"/>
      <protection locked="0" hidden="0"/>
    </xf>
    <xf numFmtId="0" fontId="18" fillId="3" borderId="1" applyAlignment="1" applyProtection="1" pivotButton="0" quotePrefix="0" xfId="0">
      <alignment horizontal="center" vertical="center" wrapText="1"/>
      <protection locked="0" hidden="0"/>
    </xf>
    <xf numFmtId="0" fontId="19" fillId="0" borderId="1" applyAlignment="1" pivotButton="0" quotePrefix="0" xfId="0">
      <alignment vertical="center"/>
    </xf>
    <xf numFmtId="0" fontId="20" fillId="0" borderId="1" applyAlignment="1" applyProtection="1" pivotButton="0" quotePrefix="0" xfId="0">
      <alignment vertical="center"/>
      <protection locked="0" hidden="0"/>
    </xf>
    <xf numFmtId="0" fontId="20" fillId="10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pivotButton="0" quotePrefix="0" xfId="0">
      <alignment horizontal="center" vertical="center" wrapText="1"/>
    </xf>
    <xf numFmtId="0" fontId="20" fillId="0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164" fontId="0" fillId="5" borderId="1" applyAlignment="1" pivotButton="0" quotePrefix="0" xfId="0">
      <alignment horizontal="center" vertical="center" wrapText="1"/>
    </xf>
    <xf numFmtId="0" fontId="3" fillId="3" borderId="2" applyAlignment="1" applyProtection="1" pivotButton="0" quotePrefix="0" xfId="0">
      <alignment horizontal="center" vertical="center" wrapText="1"/>
      <protection locked="0" hidden="0"/>
    </xf>
    <xf numFmtId="0" fontId="3" fillId="3" borderId="6" applyAlignment="1" applyProtection="1" pivotButton="0" quotePrefix="0" xfId="0">
      <alignment horizontal="center" vertical="center" wrapText="1"/>
      <protection locked="0" hidden="0"/>
    </xf>
    <xf numFmtId="0" fontId="3" fillId="3" borderId="3" applyAlignment="1" applyProtection="1" pivotButton="0" quotePrefix="0" xfId="0">
      <alignment horizontal="center" vertical="center" wrapText="1"/>
      <protection locked="0" hidden="0"/>
    </xf>
    <xf numFmtId="164" fontId="3" fillId="5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vertical="center"/>
      <protection locked="0" hidden="0"/>
    </xf>
    <xf numFmtId="0" fontId="21" fillId="0" borderId="0" applyAlignment="1" pivotButton="0" quotePrefix="0" xfId="0">
      <alignment vertical="center"/>
    </xf>
    <xf numFmtId="0" fontId="22" fillId="11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/>
    </xf>
    <xf numFmtId="0" fontId="23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/>
    </xf>
    <xf numFmtId="0" fontId="23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3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7" fontId="12" fillId="5" borderId="1" applyAlignment="1" pivotButton="0" quotePrefix="0" xfId="0">
      <alignment horizontal="center" vertical="center" wrapText="1"/>
    </xf>
    <xf numFmtId="167" fontId="14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165" fontId="7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164" fontId="7" fillId="4" borderId="1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164" fontId="3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8__x0004_" xfId="49"/>
    <cellStyle name="常规 2 5" xfId="50"/>
    <cellStyle name="常规 4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Henry</author>
  </authors>
  <commentList>
    <comment ref="D7" authorId="0" shapeId="0">
      <text>
        <t xml:space="preserve">根据最新基准数据更新，一般采用上一年度发布数据（一般年底发布）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0" tint="-0.349986266670736"/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ColWidth="8.88461538461539" defaultRowHeight="14.4" outlineLevelRow="7"/>
  <cols>
    <col width="16" customWidth="1" style="81" min="1" max="1"/>
    <col width="149.442307692308" customWidth="1" style="81" min="2" max="2"/>
    <col width="8.88461538461539" customWidth="1" style="81" min="3" max="16384"/>
  </cols>
  <sheetData>
    <row r="1" ht="72.59999999999999" customHeight="1" s="91">
      <c r="A1" s="82" t="inlineStr">
        <is>
          <t>模型填写顺序为：
1、拆分功能点，填写《2.规模估算》。
2、调整因子参考《3.调整因子》进行取值。
3、自动计算评估结果，查看《4.评估结果》。</t>
        </is>
      </c>
      <c r="B1" s="92" t="n"/>
    </row>
    <row r="2" ht="17.6" customHeight="1" s="91">
      <c r="A2" s="83" t="n"/>
      <c r="B2" s="83" t="n"/>
    </row>
    <row r="3" ht="17.6" customHeight="1" s="91">
      <c r="A3" s="84" t="n"/>
      <c r="B3" s="84" t="n"/>
    </row>
    <row r="4" ht="17.6" customHeight="1" s="91">
      <c r="A4" s="85" t="inlineStr">
        <is>
          <t>白色单元格</t>
        </is>
      </c>
      <c r="B4" s="86" t="inlineStr">
        <is>
          <t>计价评估时，只填写白色单元格</t>
        </is>
      </c>
    </row>
    <row r="5" ht="17.6" customHeight="1" s="91">
      <c r="A5" s="87" t="inlineStr">
        <is>
          <t>深灰单元格</t>
        </is>
      </c>
      <c r="B5" s="86" t="inlineStr">
        <is>
          <t>模板格式部分，不得修改</t>
        </is>
      </c>
    </row>
    <row r="6" ht="17.6" customHeight="1" s="91">
      <c r="A6" s="88" t="inlineStr">
        <is>
          <t>浅灰单元格</t>
        </is>
      </c>
      <c r="B6" s="86" t="inlineStr">
        <is>
          <t>模板参数部分，默认为国际标准推荐取值，各省可按直接使用，也可以按照实际情况适当调参，但修改必须经过省公司决策通过，并向总部报备</t>
        </is>
      </c>
    </row>
    <row r="7" ht="17.6" customHeight="1" s="91">
      <c r="A7" s="89" t="inlineStr">
        <is>
          <t>绿色单元格</t>
        </is>
      </c>
      <c r="B7" s="86" t="inlineStr">
        <is>
          <t>自动计算或引用数据，不得修改</t>
        </is>
      </c>
    </row>
    <row r="8">
      <c r="A8" s="90" t="n"/>
    </row>
  </sheetData>
  <mergeCells count="1">
    <mergeCell ref="A1:B1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L139"/>
  <sheetViews>
    <sheetView tabSelected="1" workbookViewId="0">
      <pane xSplit="12" ySplit="7" topLeftCell="M33" activePane="bottomRight" state="frozen"/>
      <selection activeCell="A1" sqref="A1"/>
      <selection pane="topRight" activeCell="A1" sqref="A1"/>
      <selection pane="bottomLeft" activeCell="A1" sqref="A1"/>
      <selection pane="bottomRight" activeCell="B9" sqref="B9:G138"/>
    </sheetView>
  </sheetViews>
  <sheetFormatPr baseColWidth="8" defaultColWidth="9" defaultRowHeight="16.8"/>
  <cols>
    <col width="8.77884615384615" customWidth="1" style="91" min="1" max="1"/>
    <col width="19.8846153846154" customWidth="1" style="91" min="2" max="4"/>
    <col width="31" customWidth="1" style="91" min="5" max="5"/>
    <col width="40.5576923076923" customWidth="1" style="91" min="6" max="6"/>
    <col width="8.77884615384615" customWidth="1" style="91" min="7" max="7"/>
    <col width="12.4423076923077" customWidth="1" style="91" min="8" max="8"/>
    <col width="8.77884615384615" customWidth="1" style="20" min="9" max="10"/>
    <col width="12.4423076923077" customWidth="1" style="91" min="11" max="11"/>
    <col width="16.6634615384615" customWidth="1" style="91" min="12" max="12"/>
  </cols>
  <sheetData>
    <row r="1" ht="37.2" customHeight="1" s="91">
      <c r="A1" s="52" t="inlineStr">
        <is>
          <t>1.规模估算表</t>
        </is>
      </c>
    </row>
    <row r="3">
      <c r="A3" s="53" t="inlineStr">
        <is>
          <t>规模估算方法</t>
        </is>
      </c>
      <c r="B3" s="93" t="n"/>
      <c r="C3" s="54" t="inlineStr">
        <is>
          <t>软件开发计价模型</t>
        </is>
      </c>
      <c r="D3" s="55" t="inlineStr">
        <is>
          <t>“软件开发计价模型”：7/5/4/5/4</t>
        </is>
      </c>
      <c r="E3" s="94" t="n"/>
      <c r="F3" s="94" t="n"/>
      <c r="G3" s="94" t="n"/>
      <c r="H3" s="94" t="n"/>
      <c r="I3" s="94" t="n"/>
      <c r="J3" s="94" t="n"/>
      <c r="K3" s="94" t="n"/>
      <c r="L3" s="93" t="n"/>
    </row>
    <row r="4">
      <c r="A4" s="56" t="inlineStr">
        <is>
          <t>未调整功能点合计</t>
        </is>
      </c>
      <c r="B4" s="93" t="n"/>
      <c r="C4" s="95">
        <f>H139</f>
        <v/>
      </c>
      <c r="D4" s="58" t="inlineStr">
        <is>
          <t>UFP,单位：FP</t>
        </is>
      </c>
      <c r="E4" s="94" t="n"/>
      <c r="F4" s="94" t="n"/>
      <c r="G4" s="94" t="n"/>
      <c r="H4" s="94" t="n"/>
      <c r="I4" s="94" t="n"/>
      <c r="J4" s="94" t="n"/>
      <c r="K4" s="94" t="n"/>
      <c r="L4" s="93" t="n"/>
    </row>
    <row r="5">
      <c r="A5" s="56" t="inlineStr">
        <is>
          <t>调整后功能点合计</t>
        </is>
      </c>
      <c r="B5" s="93" t="n"/>
      <c r="C5" s="96">
        <f>K139</f>
        <v/>
      </c>
      <c r="D5" s="58" t="inlineStr">
        <is>
          <t>AFP,单位：FP</t>
        </is>
      </c>
      <c r="E5" s="94" t="n"/>
      <c r="F5" s="94" t="n"/>
      <c r="G5" s="94" t="n"/>
      <c r="H5" s="94" t="n"/>
      <c r="I5" s="94" t="n"/>
      <c r="J5" s="94" t="n"/>
      <c r="K5" s="94" t="n"/>
      <c r="L5" s="93" t="n"/>
    </row>
    <row r="6">
      <c r="A6" s="60" t="inlineStr">
        <is>
          <t>1. 本次计数在项目前期，需求未充分挖掘
2. 绿色单元格为被保护，不得擅自修改</t>
        </is>
      </c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3" t="n"/>
    </row>
    <row r="7" ht="34" customHeight="1" s="91">
      <c r="A7" s="62" t="inlineStr">
        <is>
          <t>编号</t>
        </is>
      </c>
      <c r="B7" s="62" t="inlineStr">
        <is>
          <t>一级分类</t>
        </is>
      </c>
      <c r="C7" s="62" t="inlineStr">
        <is>
          <t>二级分类</t>
        </is>
      </c>
      <c r="D7" s="62" t="inlineStr">
        <is>
          <t>三级分类</t>
        </is>
      </c>
      <c r="E7" s="62" t="inlineStr">
        <is>
          <t>功能点名称</t>
        </is>
      </c>
      <c r="F7" s="62" t="inlineStr">
        <is>
          <t>功能点计数项</t>
        </is>
      </c>
      <c r="G7" s="62" t="inlineStr">
        <is>
          <t>类别</t>
        </is>
      </c>
      <c r="H7" s="62" t="inlineStr">
        <is>
          <t>UFP</t>
        </is>
      </c>
      <c r="I7" s="62" t="inlineStr">
        <is>
          <t>重用程度</t>
        </is>
      </c>
      <c r="J7" s="62" t="inlineStr">
        <is>
          <t>修改类型</t>
        </is>
      </c>
      <c r="K7" s="62" t="inlineStr">
        <is>
          <t>AFP</t>
        </is>
      </c>
      <c r="L7" s="62" t="inlineStr">
        <is>
          <t>备注</t>
        </is>
      </c>
    </row>
    <row r="8" ht="24" customHeight="1" s="91">
      <c r="A8" s="63" t="inlineStr">
        <is>
          <t>填写
说明</t>
        </is>
      </c>
      <c r="B8" s="63" t="inlineStr">
        <is>
          <t>必填</t>
        </is>
      </c>
      <c r="C8" s="63" t="inlineStr">
        <is>
          <t>必填</t>
        </is>
      </c>
      <c r="D8" s="63" t="inlineStr">
        <is>
          <t>必填</t>
        </is>
      </c>
      <c r="E8" s="63" t="inlineStr">
        <is>
          <t>必填</t>
        </is>
      </c>
      <c r="F8" s="63" t="inlineStr">
        <is>
          <t>必填</t>
        </is>
      </c>
      <c r="G8" s="68" t="inlineStr">
        <is>
          <t>请选择计价模型种类。</t>
        </is>
      </c>
      <c r="H8" s="68" t="inlineStr">
        <is>
          <t>自动计算未调整的功能点数量。</t>
        </is>
      </c>
      <c r="I8" s="68" t="inlineStr">
        <is>
          <t>请选择代码复用情况</t>
        </is>
      </c>
      <c r="J8" s="68" t="inlineStr">
        <is>
          <t>请选择代码修改情况</t>
        </is>
      </c>
      <c r="K8" s="68" t="inlineStr">
        <is>
          <t>自动计算调整后的功能点数量。</t>
        </is>
      </c>
      <c r="L8" s="68" t="inlineStr">
        <is>
          <t>调整AFP：请通过重用程度、修改类型来改</t>
        </is>
      </c>
    </row>
    <row r="9" ht="17" customHeight="1" s="91">
      <c r="A9" s="64" t="n">
        <v>1</v>
      </c>
      <c r="B9" s="65" t="n"/>
      <c r="C9" s="65" t="n"/>
      <c r="D9" s="66" t="n"/>
      <c r="E9" s="69" t="n"/>
      <c r="F9" s="73" t="n"/>
      <c r="G9" s="71" t="n"/>
      <c r="H9" s="72">
        <f>IF(G9="ILF",'3. 调整因子'!$D$63,IF(G9="EIF",'3. 调整因子'!$D$64,IF(G9="EI",'3. 调整因子'!$D$65,IF(G9="EO",'3. 调整因子'!$D$66,IF(G9="EQ",'3. 调整因子'!$D$67,"")))))</f>
        <v/>
      </c>
      <c r="I9" s="74" t="inlineStr">
        <is>
          <t>高</t>
        </is>
      </c>
      <c r="J9" s="74" t="inlineStr">
        <is>
          <t>新增</t>
        </is>
      </c>
      <c r="K9" s="97">
        <f>IF(H9="","",IF(I9="高",IF(J9="删除",H9*'3. 调整因子'!$D$53*'3. 调整因子'!$D$60,IF(J9="修改",H9*'3. 调整因子'!$D$53*'3. 调整因子'!$D$59,H9*'3. 调整因子'!$D$53*'3. 调整因子'!$D$58)),IF(I9="中",IF(J9="删除",H9*'3. 调整因子'!$D$54*'3. 调整因子'!$D$60,IF(J9="修改",H9*'3. 调整因子'!$D$54*'3. 调整因子'!$D$59,H9*'3. 调整因子'!$D$54*'3. 调整因子'!$D$58)),IF(J9="删除",H9*'3. 调整因子'!$D$55*'3. 调整因子'!$D$60,IF(J9="修改",H9*'3. 调整因子'!$D$55*'3. 调整因子'!$D$59,H9*'3. 调整因子'!$D$55*'3. 调整因子'!$D$58)))))</f>
        <v/>
      </c>
      <c r="L9" s="66" t="n"/>
    </row>
    <row r="10" ht="17" customHeight="1" s="91">
      <c r="A10" s="64" t="n">
        <v>2</v>
      </c>
      <c r="B10" s="65" t="n"/>
      <c r="C10" s="65" t="n"/>
      <c r="D10" s="66" t="n"/>
      <c r="E10" s="69" t="n"/>
      <c r="F10" s="73" t="n"/>
      <c r="G10" s="71" t="n"/>
      <c r="H10" s="72">
        <f>IF(G10="ILF",'3. 调整因子'!$D$63,IF(G10="EIF",'3. 调整因子'!$D$64,IF(G10="EI",'3. 调整因子'!$D$65,IF(G10="EO",'3. 调整因子'!$D$66,IF(G10="EQ",'3. 调整因子'!$D$67,"")))))</f>
        <v/>
      </c>
      <c r="I10" s="74" t="inlineStr">
        <is>
          <t>高</t>
        </is>
      </c>
      <c r="J10" s="74" t="inlineStr">
        <is>
          <t>新增</t>
        </is>
      </c>
      <c r="K10" s="97">
        <f>IF(H10="","",IF(I10="高",IF(J10="删除",H10*'3. 调整因子'!$D$53*'3. 调整因子'!$D$60,IF(J10="修改",H10*'3. 调整因子'!$D$53*'3. 调整因子'!$D$59,H10*'3. 调整因子'!$D$53*'3. 调整因子'!$D$58)),IF(I10="中",IF(J10="删除",H10*'3. 调整因子'!$D$54*'3. 调整因子'!$D$60,IF(J10="修改",H10*'3. 调整因子'!$D$54*'3. 调整因子'!$D$59,H10*'3. 调整因子'!$D$54*'3. 调整因子'!$D$58)),IF(J10="删除",H10*'3. 调整因子'!$D$55*'3. 调整因子'!$D$60,IF(J10="修改",H10*'3. 调整因子'!$D$55*'3. 调整因子'!$D$59,H10*'3. 调整因子'!$D$55*'3. 调整因子'!$D$58)))))</f>
        <v/>
      </c>
      <c r="L10" s="66" t="n"/>
    </row>
    <row r="11" ht="17" customHeight="1" s="91">
      <c r="A11" s="64" t="n">
        <v>3</v>
      </c>
      <c r="B11" s="65" t="n"/>
      <c r="C11" s="65" t="n"/>
      <c r="D11" s="66" t="n"/>
      <c r="E11" s="69" t="n"/>
      <c r="F11" s="73" t="n"/>
      <c r="G11" s="71" t="n"/>
      <c r="H11" s="72">
        <f>IF(G11="ILF",'3. 调整因子'!$D$63,IF(G11="EIF",'3. 调整因子'!$D$64,IF(G11="EI",'3. 调整因子'!$D$65,IF(G11="EO",'3. 调整因子'!$D$66,IF(G11="EQ",'3. 调整因子'!$D$67,"")))))</f>
        <v/>
      </c>
      <c r="I11" s="74" t="inlineStr">
        <is>
          <t>高</t>
        </is>
      </c>
      <c r="J11" s="74" t="inlineStr">
        <is>
          <t>新增</t>
        </is>
      </c>
      <c r="K11" s="97">
        <f>IF(H11="","",IF(I11="高",IF(J11="删除",H11*'3. 调整因子'!$D$53*'3. 调整因子'!$D$60,IF(J11="修改",H11*'3. 调整因子'!$D$53*'3. 调整因子'!$D$59,H11*'3. 调整因子'!$D$53*'3. 调整因子'!$D$58)),IF(I11="中",IF(J11="删除",H11*'3. 调整因子'!$D$54*'3. 调整因子'!$D$60,IF(J11="修改",H11*'3. 调整因子'!$D$54*'3. 调整因子'!$D$59,H11*'3. 调整因子'!$D$54*'3. 调整因子'!$D$58)),IF(J11="删除",H11*'3. 调整因子'!$D$55*'3. 调整因子'!$D$60,IF(J11="修改",H11*'3. 调整因子'!$D$55*'3. 调整因子'!$D$59,H11*'3. 调整因子'!$D$55*'3. 调整因子'!$D$58)))))</f>
        <v/>
      </c>
      <c r="L11" s="66" t="n"/>
    </row>
    <row r="12" ht="17" customHeight="1" s="91">
      <c r="A12" s="64" t="n">
        <v>4</v>
      </c>
      <c r="B12" s="65" t="n"/>
      <c r="C12" s="65" t="n"/>
      <c r="D12" s="66" t="n"/>
      <c r="E12" s="69" t="n"/>
      <c r="F12" s="73" t="n"/>
      <c r="G12" s="71" t="n"/>
      <c r="H12" s="72">
        <f>IF(G12="ILF",'3. 调整因子'!$D$63,IF(G12="EIF",'3. 调整因子'!$D$64,IF(G12="EI",'3. 调整因子'!$D$65,IF(G12="EO",'3. 调整因子'!$D$66,IF(G12="EQ",'3. 调整因子'!$D$67,"")))))</f>
        <v/>
      </c>
      <c r="I12" s="74" t="inlineStr">
        <is>
          <t>高</t>
        </is>
      </c>
      <c r="J12" s="74" t="inlineStr">
        <is>
          <t>新增</t>
        </is>
      </c>
      <c r="K12" s="97">
        <f>IF(H12="","",IF(I12="高",IF(J12="删除",H12*'3. 调整因子'!$D$53*'3. 调整因子'!$D$60,IF(J12="修改",H12*'3. 调整因子'!$D$53*'3. 调整因子'!$D$59,H12*'3. 调整因子'!$D$53*'3. 调整因子'!$D$58)),IF(I12="中",IF(J12="删除",H12*'3. 调整因子'!$D$54*'3. 调整因子'!$D$60,IF(J12="修改",H12*'3. 调整因子'!$D$54*'3. 调整因子'!$D$59,H12*'3. 调整因子'!$D$54*'3. 调整因子'!$D$58)),IF(J12="删除",H12*'3. 调整因子'!$D$55*'3. 调整因子'!$D$60,IF(J12="修改",H12*'3. 调整因子'!$D$55*'3. 调整因子'!$D$59,H12*'3. 调整因子'!$D$55*'3. 调整因子'!$D$58)))))</f>
        <v/>
      </c>
      <c r="L12" s="66" t="n"/>
    </row>
    <row r="13" ht="17" customHeight="1" s="91">
      <c r="A13" s="64" t="n">
        <v>5</v>
      </c>
      <c r="B13" s="65" t="n"/>
      <c r="C13" s="65" t="n"/>
      <c r="D13" s="66" t="n"/>
      <c r="E13" s="69" t="n"/>
      <c r="F13" s="73" t="n"/>
      <c r="G13" s="71" t="n"/>
      <c r="H13" s="72">
        <f>IF(G13="ILF",'3. 调整因子'!$D$63,IF(G13="EIF",'3. 调整因子'!$D$64,IF(G13="EI",'3. 调整因子'!$D$65,IF(G13="EO",'3. 调整因子'!$D$66,IF(G13="EQ",'3. 调整因子'!$D$67,"")))))</f>
        <v/>
      </c>
      <c r="I13" s="74" t="inlineStr">
        <is>
          <t>高</t>
        </is>
      </c>
      <c r="J13" s="74" t="inlineStr">
        <is>
          <t>新增</t>
        </is>
      </c>
      <c r="K13" s="97">
        <f>IF(H13="","",IF(I13="高",IF(J13="删除",H13*'3. 调整因子'!$D$53*'3. 调整因子'!$D$60,IF(J13="修改",H13*'3. 调整因子'!$D$53*'3. 调整因子'!$D$59,H13*'3. 调整因子'!$D$53*'3. 调整因子'!$D$58)),IF(I13="中",IF(J13="删除",H13*'3. 调整因子'!$D$54*'3. 调整因子'!$D$60,IF(J13="修改",H13*'3. 调整因子'!$D$54*'3. 调整因子'!$D$59,H13*'3. 调整因子'!$D$54*'3. 调整因子'!$D$58)),IF(J13="删除",H13*'3. 调整因子'!$D$55*'3. 调整因子'!$D$60,IF(J13="修改",H13*'3. 调整因子'!$D$55*'3. 调整因子'!$D$59,H13*'3. 调整因子'!$D$55*'3. 调整因子'!$D$58)))))</f>
        <v/>
      </c>
      <c r="L13" s="66" t="n"/>
    </row>
    <row r="14" ht="17" customHeight="1" s="91">
      <c r="A14" s="64" t="n">
        <v>1</v>
      </c>
      <c r="B14" s="65" t="inlineStr">
        <is>
          <t>监控管理应用</t>
        </is>
      </c>
      <c r="C14" s="65" t="inlineStr">
        <is>
          <t>事件管理</t>
        </is>
      </c>
      <c r="D14" s="66" t="inlineStr"/>
      <c r="E14" s="69" t="inlineStr"/>
      <c r="F14" s="73" t="inlineStr">
        <is>
          <t>事件识别后，对字段进行补充。</t>
        </is>
      </c>
      <c r="G14" s="71" t="inlineStr">
        <is>
          <t>EO</t>
        </is>
      </c>
      <c r="H14" s="72" t="n">
        <v>5</v>
      </c>
      <c r="I14" s="74" t="inlineStr">
        <is>
          <t>高</t>
        </is>
      </c>
      <c r="J14" s="74" t="inlineStr">
        <is>
          <t>新增</t>
        </is>
      </c>
      <c r="K14" s="97" t="n">
        <v>1.65</v>
      </c>
      <c r="L14" s="66" t="n"/>
    </row>
    <row r="15" ht="17" customHeight="1" s="91">
      <c r="A15" s="64" t="n">
        <v>2</v>
      </c>
      <c r="B15" s="65" t="inlineStr">
        <is>
          <t>监控管理应用</t>
        </is>
      </c>
      <c r="C15" s="65" t="inlineStr">
        <is>
          <t>事件管理</t>
        </is>
      </c>
      <c r="D15" s="66" t="inlineStr"/>
      <c r="E15" s="69" t="inlineStr"/>
      <c r="F15" s="73" t="inlineStr">
        <is>
          <t>工程状态：1500-工程、1-空值（非工程），9900-工程遗留</t>
        </is>
      </c>
      <c r="G15" s="71" t="inlineStr">
        <is>
          <t>EO</t>
        </is>
      </c>
      <c r="H15" s="72" t="n">
        <v>5</v>
      </c>
      <c r="I15" s="74" t="inlineStr">
        <is>
          <t>高</t>
        </is>
      </c>
      <c r="J15" s="74" t="inlineStr">
        <is>
          <t>新增</t>
        </is>
      </c>
      <c r="K15" s="97" t="n">
        <v>1.65</v>
      </c>
      <c r="L15" s="66" t="n"/>
    </row>
    <row r="16" ht="17" customHeight="1" s="91">
      <c r="A16" s="64" t="n">
        <v>3</v>
      </c>
      <c r="B16" s="65" t="inlineStr">
        <is>
          <t>监控管理应用</t>
        </is>
      </c>
      <c r="C16" s="65" t="inlineStr">
        <is>
          <t>事件管理</t>
        </is>
      </c>
      <c r="D16" s="66" t="inlineStr">
        <is>
          <t>标准编码：ALARM_RESOURCE_STATUS</t>
        </is>
      </c>
      <c r="E16" s="69" t="inlineStr">
        <is>
          <t>标准编码：ALARM_RESOURCE_STATUS</t>
        </is>
      </c>
      <c r="F16" s="73" t="inlineStr">
        <is>
          <t>1 标准编码：ALARM_RESOURCE_STATUS</t>
        </is>
      </c>
      <c r="G16" s="71" t="inlineStr">
        <is>
          <t>EO</t>
        </is>
      </c>
      <c r="H16" s="72" t="n">
        <v>5</v>
      </c>
      <c r="I16" s="74" t="inlineStr">
        <is>
          <t>高</t>
        </is>
      </c>
      <c r="J16" s="74" t="inlineStr">
        <is>
          <t>新增</t>
        </is>
      </c>
      <c r="K16" s="97" t="n">
        <v>1.65</v>
      </c>
      <c r="L16" s="66" t="n"/>
    </row>
    <row r="17" ht="17" customHeight="1" s="91">
      <c r="A17" s="64" t="n">
        <v>4</v>
      </c>
      <c r="B17" s="65" t="inlineStr">
        <is>
          <t>监控管理应用</t>
        </is>
      </c>
      <c r="C17" s="65" t="inlineStr">
        <is>
          <t>事件管理</t>
        </is>
      </c>
      <c r="D17" s="66" t="inlineStr">
        <is>
          <t>工程（1500）：原始告警中ALARM_RESOURCE_STATUS  =1500</t>
        </is>
      </c>
      <c r="E17" s="69" t="inlineStr">
        <is>
          <t>取值逻辑：-工程（1500）：原始告警中ALARM_RESOURCE_STATUS  =1500</t>
        </is>
      </c>
      <c r="F17" s="73" t="inlineStr">
        <is>
          <t>2.1 工程（1500）：原始告警中ALARM_RESOURCE_STATUS  =1500</t>
        </is>
      </c>
      <c r="G17" s="71" t="inlineStr">
        <is>
          <t>EO</t>
        </is>
      </c>
      <c r="H17" s="72" t="n">
        <v>5</v>
      </c>
      <c r="I17" s="74" t="inlineStr">
        <is>
          <t>高</t>
        </is>
      </c>
      <c r="J17" s="74" t="inlineStr">
        <is>
          <t>新增</t>
        </is>
      </c>
      <c r="K17" s="97" t="n">
        <v>1.65</v>
      </c>
      <c r="L17" s="66" t="n"/>
    </row>
    <row r="18" ht="17" customHeight="1" s="91">
      <c r="A18" s="64" t="n">
        <v>5</v>
      </c>
      <c r="B18" s="65" t="inlineStr">
        <is>
          <t>监控管理应用</t>
        </is>
      </c>
      <c r="C18" s="65" t="inlineStr">
        <is>
          <t>事件管理</t>
        </is>
      </c>
      <c r="D18" s="66" t="inlineStr">
        <is>
          <t>非工程（1）：原始告警中ALARM_RESOURCE_STATUS  &lt;&gt; 1500的数据</t>
        </is>
      </c>
      <c r="E18" s="69" t="inlineStr">
        <is>
          <t>取值逻辑：-非工程（1）：原始告警中ALARM_RESOURCE_STATUS  &lt;&gt; 1500的数</t>
        </is>
      </c>
      <c r="F18" s="73" t="inlineStr">
        <is>
          <t>2.2 非工程（1）：原始告警中ALARM_RESOURCE_STATUS  &lt;&gt; 1500的数据</t>
        </is>
      </c>
      <c r="G18" s="71" t="inlineStr">
        <is>
          <t>EO</t>
        </is>
      </c>
      <c r="H18" s="72" t="n">
        <v>5</v>
      </c>
      <c r="I18" s="74" t="inlineStr">
        <is>
          <t>高</t>
        </is>
      </c>
      <c r="J18" s="74" t="inlineStr">
        <is>
          <t>新增</t>
        </is>
      </c>
      <c r="K18" s="97" t="n">
        <v>1.65</v>
      </c>
      <c r="L18" s="66" t="n"/>
    </row>
    <row r="19" ht="17" customHeight="1" s="91">
      <c r="A19" s="64" t="n">
        <v>6</v>
      </c>
      <c r="B19" s="65" t="inlineStr">
        <is>
          <t>监控管理应用</t>
        </is>
      </c>
      <c r="C19" s="65" t="inlineStr">
        <is>
          <t>事件管理</t>
        </is>
      </c>
      <c r="D19" s="66" t="inlineStr">
        <is>
          <t>工程遗留（9900）：如果工程状态的事件，工程结束时间已经到达 并且 事件还未收到清除消息，状态从“工程”变迁为“工程遗留”</t>
        </is>
      </c>
      <c r="E19" s="69" t="inlineStr">
        <is>
          <t>取值逻辑：-工程遗留（9900）：如果工程状态的事件，工程结束时间已经到达 并且 事件还未收到清除消</t>
        </is>
      </c>
      <c r="F19" s="73" t="inlineStr">
        <is>
          <t>2.3 工程遗留（9900）：如果工程状态的事件，工程结束时间已经到达 并且 事件还未收到清除消息，状态从“工程”变迁为“工程遗留”</t>
        </is>
      </c>
      <c r="G19" s="71" t="inlineStr">
        <is>
          <t>EO</t>
        </is>
      </c>
      <c r="H19" s="72" t="n">
        <v>5</v>
      </c>
      <c r="I19" s="74" t="inlineStr">
        <is>
          <t>高</t>
        </is>
      </c>
      <c r="J19" s="74" t="inlineStr">
        <is>
          <t>新增</t>
        </is>
      </c>
      <c r="K19" s="97" t="n">
        <v>1.65</v>
      </c>
      <c r="L19" s="66" t="n"/>
    </row>
    <row r="20" ht="17" customHeight="1" s="91">
      <c r="A20" s="64" t="n">
        <v>7</v>
      </c>
      <c r="B20" s="65" t="inlineStr">
        <is>
          <t>监控管理应用</t>
        </is>
      </c>
      <c r="C20" s="65" t="inlineStr">
        <is>
          <t>事件管理</t>
        </is>
      </c>
      <c r="D20" s="66" t="inlineStr">
        <is>
          <t>工程遗留（9900）：如果工程状态的事件，工程结束时间已经到达 并且 事件还未收到清除消息，状态从“工程”变迁为“工程遗留”</t>
        </is>
      </c>
      <c r="E20" s="69" t="inlineStr">
        <is>
          <t>取值逻辑：-工程遗留（9900）：如果工程状态的事件，工程结束时间已经到达 并且 事件还未收到清除消</t>
        </is>
      </c>
      <c r="F20" s="73" t="inlineStr">
        <is>
          <t>是否干扰类：0-非干扰事件，1-干扰事件</t>
        </is>
      </c>
      <c r="G20" s="71" t="inlineStr">
        <is>
          <t>EO</t>
        </is>
      </c>
      <c r="H20" s="72" t="n">
        <v>5</v>
      </c>
      <c r="I20" s="74" t="inlineStr">
        <is>
          <t>高</t>
        </is>
      </c>
      <c r="J20" s="74" t="inlineStr">
        <is>
          <t>新增</t>
        </is>
      </c>
      <c r="K20" s="97" t="n">
        <v>1.65</v>
      </c>
      <c r="L20" s="66" t="n"/>
    </row>
    <row r="21" ht="17" customHeight="1" s="91">
      <c r="A21" s="64" t="n">
        <v>8</v>
      </c>
      <c r="B21" s="65" t="inlineStr">
        <is>
          <t>监控管理应用</t>
        </is>
      </c>
      <c r="C21" s="65" t="inlineStr">
        <is>
          <t>事件管理</t>
        </is>
      </c>
      <c r="D21" s="66" t="inlineStr">
        <is>
          <t>工程遗留（9900）：如果工程状态的事件，工程结束时间已经到达 并且 事件还未收到清除消息，状态从“工程”变迁为“工程遗留”</t>
        </is>
      </c>
      <c r="E21" s="69" t="inlineStr">
        <is>
          <t>标准编码：INTERFERENCE_FLAG-工程遗留（9900）：如果工程状态的事件，工程结束时间</t>
        </is>
      </c>
      <c r="F21" s="73" t="inlineStr">
        <is>
          <t>1 标准编码：INTERFERENCE_FLAG</t>
        </is>
      </c>
      <c r="G21" s="71" t="inlineStr">
        <is>
          <t>EO</t>
        </is>
      </c>
      <c r="H21" s="72" t="n">
        <v>5</v>
      </c>
      <c r="I21" s="74" t="inlineStr">
        <is>
          <t>高</t>
        </is>
      </c>
      <c r="J21" s="74" t="inlineStr">
        <is>
          <t>新增</t>
        </is>
      </c>
      <c r="K21" s="97" t="n">
        <v>1.65</v>
      </c>
      <c r="L21" s="66" t="n"/>
    </row>
    <row r="22" ht="17" customHeight="1" s="91">
      <c r="A22" s="64" t="n">
        <v>9</v>
      </c>
      <c r="B22" s="65" t="inlineStr">
        <is>
          <t>监控管理应用</t>
        </is>
      </c>
      <c r="C22" s="65" t="inlineStr">
        <is>
          <t>事件管理</t>
        </is>
      </c>
      <c r="D22" s="66" t="inlineStr">
        <is>
          <t>工程遗留（9900）：如果工程状态的事件，工程结束时间已经到达 并且 事件还未收到清除消息，状态从“工程”变迁为“工程遗留”</t>
        </is>
      </c>
      <c r="E22" s="69" t="inlineStr">
        <is>
          <t>取值逻辑：根据亿阳透传的PROJ_INTERFERENCE_FLAG = 1 且 PROJ_INTE</t>
        </is>
      </c>
      <c r="F22" s="73" t="inlineStr">
        <is>
          <t>2 取值逻辑：根据亿阳透传的PROJ_INTERFERENCE_FLAG = 1 且 PROJ_INTERFERENCE_TYPE 包含 以下 “部署规则”中的内容，符合时，设置 INTERFEREN</t>
        </is>
      </c>
      <c r="G22" s="71" t="inlineStr">
        <is>
          <t>EO</t>
        </is>
      </c>
      <c r="H22" s="72" t="n">
        <v>5</v>
      </c>
      <c r="I22" s="74" t="inlineStr">
        <is>
          <t>高</t>
        </is>
      </c>
      <c r="J22" s="74" t="inlineStr">
        <is>
          <t>新增</t>
        </is>
      </c>
      <c r="K22" s="97" t="n">
        <v>1.65</v>
      </c>
      <c r="L22" s="66" t="n"/>
    </row>
    <row r="23" ht="17" customHeight="1" s="91">
      <c r="A23" s="64" t="n">
        <v>10</v>
      </c>
      <c r="B23" s="65" t="inlineStr">
        <is>
          <t>监控管理应用</t>
        </is>
      </c>
      <c r="C23" s="65" t="inlineStr">
        <is>
          <t>事件管理</t>
        </is>
      </c>
      <c r="D23" s="66" t="inlineStr">
        <is>
          <t>工程遗留（9900）：如果工程状态的事件，工程结束时间已经到达 并且 事件还未收到清除消息，状态从“工程”变迁为“工程遗留”</t>
        </is>
      </c>
      <c r="E23" s="69" t="inlineStr">
        <is>
          <t>取值逻辑：根据亿阳透传的PROJ_INTERFERENCE_FLAG = 1 且 PROJ_INTE</t>
        </is>
      </c>
      <c r="F23" s="73" t="inlineStr">
        <is>
          <t>是否夜间抑制派单事件 ：1-是  ；0-否</t>
        </is>
      </c>
      <c r="G23" s="71" t="inlineStr">
        <is>
          <t>EO</t>
        </is>
      </c>
      <c r="H23" s="72" t="n">
        <v>5</v>
      </c>
      <c r="I23" s="74" t="inlineStr">
        <is>
          <t>高</t>
        </is>
      </c>
      <c r="J23" s="74" t="inlineStr">
        <is>
          <t>新增</t>
        </is>
      </c>
      <c r="K23" s="97" t="n">
        <v>1.65</v>
      </c>
      <c r="L23" s="66" t="n"/>
    </row>
    <row r="24" ht="17" customHeight="1" s="91">
      <c r="A24" s="64" t="n">
        <v>11</v>
      </c>
      <c r="B24" s="65" t="inlineStr">
        <is>
          <t>监控管理应用</t>
        </is>
      </c>
      <c r="C24" s="65" t="inlineStr">
        <is>
          <t>事件管理</t>
        </is>
      </c>
      <c r="D24" s="66" t="inlineStr">
        <is>
          <t>工程遗留（9900）：如果工程状态的事件，工程结束时间已经到达 并且 事件还未收到清除消息，状态从“工程”变迁为“工程遗留”</t>
        </is>
      </c>
      <c r="E24" s="69" t="inlineStr">
        <is>
          <t>标准编码：SUPPRESS_NIGHT-工程遗留（9900）：如果工程状态的事件，工程结束时间已经到</t>
        </is>
      </c>
      <c r="F24" s="73" t="inlineStr">
        <is>
          <t>1 标准编码：SUPPRESS_NIGHT</t>
        </is>
      </c>
      <c r="G24" s="71" t="inlineStr">
        <is>
          <t>EO</t>
        </is>
      </c>
      <c r="H24" s="72" t="n">
        <v>5</v>
      </c>
      <c r="I24" s="74" t="inlineStr">
        <is>
          <t>高</t>
        </is>
      </c>
      <c r="J24" s="74" t="inlineStr">
        <is>
          <t>新增</t>
        </is>
      </c>
      <c r="K24" s="97" t="n">
        <v>1.65</v>
      </c>
      <c r="L24" s="66" t="n"/>
    </row>
    <row r="25" ht="17" customHeight="1" s="91">
      <c r="A25" s="64" t="n">
        <v>12</v>
      </c>
      <c r="B25" s="65" t="inlineStr">
        <is>
          <t>监控管理应用</t>
        </is>
      </c>
      <c r="C25" s="65" t="inlineStr">
        <is>
          <t>事件管理</t>
        </is>
      </c>
      <c r="D25" s="66" t="inlineStr">
        <is>
          <t>工程遗留（9900）：如果工程状态的事件，工程结束时间已经到达 并且 事件还未收到清除消息，状态从“工程”变迁为“工程遗留”</t>
        </is>
      </c>
      <c r="E25" s="69" t="inlineStr">
        <is>
          <t>取值逻辑：分专业判断，在以下清单中的事件，标识为：1，否则为：0-工程遗留（9900）：如果工程状态</t>
        </is>
      </c>
      <c r="F25" s="73" t="inlineStr">
        <is>
          <t>2 取值逻辑：分专业判断，在以下清单中的事件，标识为：1，否则为：0</t>
        </is>
      </c>
      <c r="G25" s="71" t="inlineStr">
        <is>
          <t>EO</t>
        </is>
      </c>
      <c r="H25" s="72" t="n">
        <v>5</v>
      </c>
      <c r="I25" s="74" t="inlineStr">
        <is>
          <t>高</t>
        </is>
      </c>
      <c r="J25" s="74" t="inlineStr">
        <is>
          <t>新增</t>
        </is>
      </c>
      <c r="K25" s="97" t="n">
        <v>1.65</v>
      </c>
      <c r="L25" s="66" t="n"/>
    </row>
    <row r="26" ht="17" customHeight="1" s="91">
      <c r="A26" s="64" t="n">
        <v>13</v>
      </c>
      <c r="B26" s="65" t="inlineStr">
        <is>
          <t>监控管理应用</t>
        </is>
      </c>
      <c r="C26" s="65" t="inlineStr">
        <is>
          <t>事件管理</t>
        </is>
      </c>
      <c r="D26" s="66" t="inlineStr">
        <is>
          <t>工程遗留（9900）：如果工程状态的事件，工程结束时间已经到达 并且 事件还未收到清除消息，状态从“工程”变迁为“工程遗留”</t>
        </is>
      </c>
      <c r="E26" s="69" t="inlineStr">
        <is>
          <t>清除消息上报严重超时-工程遗留（9900）：如果工程状态的事件，工程结束时间已经到达 并且 事件还未</t>
        </is>
      </c>
      <c r="F26" s="73" t="inlineStr">
        <is>
          <t>5 清除消息上报严重超时</t>
        </is>
      </c>
      <c r="G26" s="71" t="inlineStr">
        <is>
          <t>EO</t>
        </is>
      </c>
      <c r="H26" s="72" t="n">
        <v>5</v>
      </c>
      <c r="I26" s="74" t="inlineStr">
        <is>
          <t>高</t>
        </is>
      </c>
      <c r="J26" s="74" t="inlineStr">
        <is>
          <t>新增</t>
        </is>
      </c>
      <c r="K26" s="97" t="n">
        <v>1.65</v>
      </c>
      <c r="L26" s="66" t="n"/>
    </row>
    <row r="27" ht="17" customHeight="1" s="91">
      <c r="A27" s="64" t="n">
        <v>14</v>
      </c>
      <c r="B27" s="65" t="inlineStr">
        <is>
          <t>监控管理应用</t>
        </is>
      </c>
      <c r="C27" s="65" t="inlineStr">
        <is>
          <t>事件管理</t>
        </is>
      </c>
      <c r="D27" s="66" t="inlineStr">
        <is>
          <t>工程遗留（9900）：如果工程状态的事件，工程结束时间已经到达 并且 事件还未收到清除消息，状态从“工程”变迁为“工程遗留”</t>
        </is>
      </c>
      <c r="E27" s="69" t="inlineStr">
        <is>
          <t>清除消息上报严重超时-工程遗留（9900）：如果工程状态的事件，工程结束时间已经到达 并且 事件还未</t>
        </is>
      </c>
      <c r="F27" s="73" t="inlineStr">
        <is>
          <t>界面列表呈现：所属专业、规则名称、是否启用、创建时间、更新时间、操作列等字段；</t>
        </is>
      </c>
      <c r="G27" s="71" t="inlineStr">
        <is>
          <t>EI</t>
        </is>
      </c>
      <c r="H27" s="72" t="n">
        <v>4</v>
      </c>
      <c r="I27" s="74" t="inlineStr">
        <is>
          <t>高</t>
        </is>
      </c>
      <c r="J27" s="74" t="inlineStr">
        <is>
          <t>新增</t>
        </is>
      </c>
      <c r="K27" s="97" t="n">
        <v>1.32</v>
      </c>
      <c r="L27" s="66" t="n"/>
    </row>
    <row r="28" ht="17" customHeight="1" s="91">
      <c r="A28" s="64" t="n">
        <v>15</v>
      </c>
      <c r="B28" s="65" t="inlineStr">
        <is>
          <t>监控管理应用</t>
        </is>
      </c>
      <c r="C28" s="65" t="inlineStr">
        <is>
          <t>事件管理</t>
        </is>
      </c>
      <c r="D28" s="66" t="inlineStr">
        <is>
          <t>工程遗留（9900）：如果工程状态的事件，工程结束时间已经到达 并且 事件还未收到清除消息，状态从“工程”变迁为“工程遗留”</t>
        </is>
      </c>
      <c r="E28" s="69" t="inlineStr">
        <is>
          <t>清除消息上报严重超时-工程遗留（9900）：如果工程状态的事件，工程结束时间已经到达 并且 事件还未</t>
        </is>
      </c>
      <c r="F28" s="73" t="inlineStr">
        <is>
          <t>用户点击“查询”按钮，根据查询条件搜索满足条件的记录展示在结果列表；</t>
        </is>
      </c>
      <c r="G28" s="71" t="inlineStr">
        <is>
          <t>EQ</t>
        </is>
      </c>
      <c r="H28" s="72" t="n">
        <v>4</v>
      </c>
      <c r="I28" s="74" t="inlineStr">
        <is>
          <t>高</t>
        </is>
      </c>
      <c r="J28" s="74" t="inlineStr">
        <is>
          <t>新增</t>
        </is>
      </c>
      <c r="K28" s="97" t="n">
        <v>1.32</v>
      </c>
      <c r="L28" s="66" t="n"/>
    </row>
    <row r="29" ht="17" customHeight="1" s="91">
      <c r="A29" s="64" t="n">
        <v>16</v>
      </c>
      <c r="B29" s="65" t="inlineStr">
        <is>
          <t>监控管理应用</t>
        </is>
      </c>
      <c r="C29" s="65" t="inlineStr">
        <is>
          <t>事件管理</t>
        </is>
      </c>
      <c r="D29" s="66" t="inlineStr">
        <is>
          <t>工程遗留（9900）：如果工程状态的事件，工程结束时间已经到达 并且 事件还未收到清除消息，状态从“工程”变迁为“工程遗留”</t>
        </is>
      </c>
      <c r="E29" s="69" t="inlineStr">
        <is>
          <t>清除消息上报严重超时-工程遗留（9900）：如果工程状态的事件，工程结束时间已经到达 并且 事件还未</t>
        </is>
      </c>
      <c r="F29" s="73" t="inlineStr">
        <is>
          <t>用户点击“重置”按钮，重置查询条件；</t>
        </is>
      </c>
      <c r="G29" s="71" t="inlineStr">
        <is>
          <t>EQ</t>
        </is>
      </c>
      <c r="H29" s="72" t="n">
        <v>4</v>
      </c>
      <c r="I29" s="74" t="inlineStr">
        <is>
          <t>高</t>
        </is>
      </c>
      <c r="J29" s="74" t="inlineStr">
        <is>
          <t>新增</t>
        </is>
      </c>
      <c r="K29" s="97" t="n">
        <v>1.32</v>
      </c>
      <c r="L29" s="66" t="n"/>
    </row>
    <row r="30" ht="17" customHeight="1" s="91">
      <c r="A30" s="64" t="n">
        <v>17</v>
      </c>
      <c r="B30" s="65" t="inlineStr">
        <is>
          <t>监控管理应用</t>
        </is>
      </c>
      <c r="C30" s="65" t="inlineStr">
        <is>
          <t>事件管理</t>
        </is>
      </c>
      <c r="D30" s="66" t="inlineStr">
        <is>
          <t>工程遗留（9900）：如果工程状态的事件，工程结束时间已经到达 并且 事件还未收到清除消息，状态从“工程”变迁为“工程遗留”</t>
        </is>
      </c>
      <c r="E30" s="69" t="inlineStr">
        <is>
          <t>清除消息上报严重超时-工程遗留（9900）：如果工程状态的事件，工程结束时间已经到达 并且 事件还未</t>
        </is>
      </c>
      <c r="F30" s="73" t="inlineStr">
        <is>
          <t>用户点击“启用”&amp;“禁用”，进行启用禁用切换；</t>
        </is>
      </c>
      <c r="G30" s="71" t="inlineStr">
        <is>
          <t>EO</t>
        </is>
      </c>
      <c r="H30" s="72" t="n">
        <v>5</v>
      </c>
      <c r="I30" s="74" t="inlineStr">
        <is>
          <t>高</t>
        </is>
      </c>
      <c r="J30" s="74" t="inlineStr">
        <is>
          <t>新增</t>
        </is>
      </c>
      <c r="K30" s="97" t="n">
        <v>1.65</v>
      </c>
      <c r="L30" s="66" t="n"/>
    </row>
    <row r="31" ht="17" customHeight="1" s="91">
      <c r="A31" s="64" t="n">
        <v>18</v>
      </c>
      <c r="B31" s="65" t="inlineStr">
        <is>
          <t>监控管理应用</t>
        </is>
      </c>
      <c r="C31" s="65" t="inlineStr">
        <is>
          <t>事件管理</t>
        </is>
      </c>
      <c r="D31" s="66" t="inlineStr">
        <is>
          <t>工程遗留（9900）：如果工程状态的事件，工程结束时间已经到达 并且 事件还未收到清除消息，状态从“工程”变迁为“工程遗留”</t>
        </is>
      </c>
      <c r="E31" s="69" t="inlineStr">
        <is>
          <t>清除消息上报严重超时-工程遗留（9900）：如果工程状态的事件，工程结束时间已经到达 并且 事件还未</t>
        </is>
      </c>
      <c r="F31" s="73" t="inlineStr">
        <is>
          <t>用户点击“删除”，系统友好二次确认提示信息，用户确认后，可删除已配置规则；</t>
        </is>
      </c>
      <c r="G31" s="71" t="inlineStr">
        <is>
          <t>EI</t>
        </is>
      </c>
      <c r="H31" s="72" t="n">
        <v>4</v>
      </c>
      <c r="I31" s="74" t="inlineStr">
        <is>
          <t>高</t>
        </is>
      </c>
      <c r="J31" s="74" t="inlineStr">
        <is>
          <t>新增</t>
        </is>
      </c>
      <c r="K31" s="97" t="n">
        <v>1.32</v>
      </c>
      <c r="L31" s="66" t="n"/>
    </row>
    <row r="32" ht="17" customHeight="1" s="91">
      <c r="A32" s="64" t="n">
        <v>19</v>
      </c>
      <c r="B32" s="65" t="inlineStr">
        <is>
          <t>监控管理应用</t>
        </is>
      </c>
      <c r="C32" s="65" t="inlineStr">
        <is>
          <t>事件管理</t>
        </is>
      </c>
      <c r="D32" s="66" t="inlineStr">
        <is>
          <t>工程遗留（9900）：如果工程状态的事件，工程结束时间已经到达 并且 事件还未收到清除消息，状态从“工程”变迁为“工程遗留”</t>
        </is>
      </c>
      <c r="E32" s="69" t="inlineStr">
        <is>
          <t>清除消息上报严重超时-工程遗留（9900）：如果工程状态的事件，工程结束时间已经到达 并且 事件还未</t>
        </is>
      </c>
      <c r="F32" s="73" t="inlineStr">
        <is>
          <t>用户管理界面-》创建规则；</t>
        </is>
      </c>
      <c r="G32" s="71" t="inlineStr">
        <is>
          <t>EO</t>
        </is>
      </c>
      <c r="H32" s="72" t="n">
        <v>5</v>
      </c>
      <c r="I32" s="74" t="inlineStr">
        <is>
          <t>高</t>
        </is>
      </c>
      <c r="J32" s="74" t="inlineStr">
        <is>
          <t>新增</t>
        </is>
      </c>
      <c r="K32" s="97" t="n">
        <v>1.65</v>
      </c>
      <c r="L32" s="66" t="n"/>
    </row>
    <row r="33" ht="17" customHeight="1" s="91">
      <c r="A33" s="64" t="n">
        <v>20</v>
      </c>
      <c r="B33" s="65" t="inlineStr">
        <is>
          <t>监控管理应用</t>
        </is>
      </c>
      <c r="C33" s="65" t="inlineStr">
        <is>
          <t>事件管理</t>
        </is>
      </c>
      <c r="D33" s="66" t="inlineStr">
        <is>
          <t>工程遗留（9900）：如果工程状态的事件，工程结束时间已经到达 并且 事件还未收到清除消息，状态从“工程”变迁为“工程遗留”</t>
        </is>
      </c>
      <c r="E33" s="69" t="inlineStr">
        <is>
          <t>清除消息上报严重超时-工程遗留（9900）：如果工程状态的事件，工程结束时间已经到达 并且 事件还未</t>
        </is>
      </c>
      <c r="F33" s="73" t="inlineStr">
        <is>
          <t>系统弹出规则信息录入界面；</t>
        </is>
      </c>
      <c r="G33" s="71" t="inlineStr">
        <is>
          <t>EO</t>
        </is>
      </c>
      <c r="H33" s="72" t="n">
        <v>5</v>
      </c>
      <c r="I33" s="74" t="inlineStr">
        <is>
          <t>高</t>
        </is>
      </c>
      <c r="J33" s="74" t="inlineStr">
        <is>
          <t>新增</t>
        </is>
      </c>
      <c r="K33" s="97" t="n">
        <v>1.65</v>
      </c>
      <c r="L33" s="66" t="n"/>
    </row>
    <row r="34" ht="17" customHeight="1" s="91">
      <c r="A34" s="64" t="n">
        <v>21</v>
      </c>
      <c r="B34" s="65" t="inlineStr">
        <is>
          <t>监控管理应用</t>
        </is>
      </c>
      <c r="C34" s="65" t="inlineStr">
        <is>
          <t>事件管理</t>
        </is>
      </c>
      <c r="D34" s="66" t="inlineStr">
        <is>
          <t>工程遗留（9900）：如果工程状态的事件，工程结束时间已经到达 并且 事件还未收到清除消息，状态从“工程”变迁为“工程遗留”</t>
        </is>
      </c>
      <c r="E34" s="69" t="inlineStr">
        <is>
          <t>清除消息上报严重超时-工程遗留（9900）：如果工程状态的事件，工程结束时间已经到达 并且 事件还未</t>
        </is>
      </c>
      <c r="F34" s="73" t="inlineStr">
        <is>
          <t>用户录入规则信息</t>
        </is>
      </c>
      <c r="G34" s="71" t="inlineStr">
        <is>
          <t>EO</t>
        </is>
      </c>
      <c r="H34" s="72" t="n">
        <v>5</v>
      </c>
      <c r="I34" s="74" t="inlineStr">
        <is>
          <t>高</t>
        </is>
      </c>
      <c r="J34" s="74" t="inlineStr">
        <is>
          <t>新增</t>
        </is>
      </c>
      <c r="K34" s="97" t="n">
        <v>1.65</v>
      </c>
      <c r="L34" s="66" t="n"/>
    </row>
    <row r="35" ht="17" customHeight="1" s="91">
      <c r="A35" s="64" t="n">
        <v>22</v>
      </c>
      <c r="B35" s="65" t="inlineStr">
        <is>
          <t>监控管理应用</t>
        </is>
      </c>
      <c r="C35" s="65" t="inlineStr">
        <is>
          <t>事件管理</t>
        </is>
      </c>
      <c r="D35" s="66" t="inlineStr">
        <is>
          <t>工程遗留（9900）：如果工程状态的事件，工程结束时间已经到达 并且 事件还未收到清除消息，状态从“工程”变迁为“工程遗留”</t>
        </is>
      </c>
      <c r="E35" s="69" t="inlineStr">
        <is>
          <t>“基本信息”区域，设置规则的名称、描述信息、是否启用规则；-工程遗留（9900）：如果工程状态的事件</t>
        </is>
      </c>
      <c r="F35" s="73" t="inlineStr">
        <is>
          <t>1 “基本信息”区域，设置规则的名称、描述信息、是否启用规则；</t>
        </is>
      </c>
      <c r="G35" s="71" t="inlineStr">
        <is>
          <t>EO</t>
        </is>
      </c>
      <c r="H35" s="72" t="n">
        <v>5</v>
      </c>
      <c r="I35" s="74" t="inlineStr">
        <is>
          <t>高</t>
        </is>
      </c>
      <c r="J35" s="74" t="inlineStr">
        <is>
          <t>新增</t>
        </is>
      </c>
      <c r="K35" s="97" t="n">
        <v>1.65</v>
      </c>
      <c r="L35" s="66" t="n"/>
    </row>
    <row r="36" ht="17" customHeight="1" s="91">
      <c r="A36" s="64" t="n">
        <v>23</v>
      </c>
      <c r="B36" s="65" t="inlineStr">
        <is>
          <t>监控管理应用</t>
        </is>
      </c>
      <c r="C36" s="65" t="inlineStr">
        <is>
          <t>事件管理</t>
        </is>
      </c>
      <c r="D36" s="66" t="inlineStr">
        <is>
          <t>工程遗留（9900）：如果工程状态的事件，工程结束时间已经到达 并且 事件还未收到清除消息，状态从“工程”变迁为“工程遗留”</t>
        </is>
      </c>
      <c r="E36" s="69" t="inlineStr">
        <is>
          <t>“条件”区域，设置抑制规则生效的事件属性表达式：-工程遗留（9900）：如果工程状态的事件，工程结束</t>
        </is>
      </c>
      <c r="F36" s="73" t="inlineStr">
        <is>
          <t>2 “条件”区域，设置抑制规则生效的事件属性表达式：</t>
        </is>
      </c>
      <c r="G36" s="71" t="inlineStr">
        <is>
          <t>EO</t>
        </is>
      </c>
      <c r="H36" s="72" t="n">
        <v>5</v>
      </c>
      <c r="I36" s="74" t="inlineStr">
        <is>
          <t>高</t>
        </is>
      </c>
      <c r="J36" s="74" t="inlineStr">
        <is>
          <t>新增</t>
        </is>
      </c>
      <c r="K36" s="97" t="n">
        <v>1.65</v>
      </c>
      <c r="L36" s="66" t="n"/>
    </row>
    <row r="37" ht="17" customHeight="1" s="91">
      <c r="A37" s="64" t="n">
        <v>24</v>
      </c>
      <c r="B37" s="65" t="inlineStr">
        <is>
          <t>监控管理应用</t>
        </is>
      </c>
      <c r="C37" s="65" t="inlineStr">
        <is>
          <t>事件管理</t>
        </is>
      </c>
      <c r="D37" s="66" t="inlineStr">
        <is>
          <t>工程遗留（9900）：如果工程状态的事件，工程结束时间已经到达 并且 事件还未收到清除消息，状态从“工程”变迁为“工程遗留”</t>
        </is>
      </c>
      <c r="E37" s="69" t="inlineStr">
        <is>
          <t>“时间”区域，设置抑制规则生效的时间和生效周期；-工程遗留（9900）：如果工程状态的事件，工程结束</t>
        </is>
      </c>
      <c r="F37" s="73" t="inlineStr">
        <is>
          <t>3 “时间”区域，设置抑制规则生效的时间和生效周期；</t>
        </is>
      </c>
      <c r="G37" s="71" t="inlineStr">
        <is>
          <t>EO</t>
        </is>
      </c>
      <c r="H37" s="72" t="n">
        <v>5</v>
      </c>
      <c r="I37" s="74" t="inlineStr">
        <is>
          <t>高</t>
        </is>
      </c>
      <c r="J37" s="74" t="inlineStr">
        <is>
          <t>新增</t>
        </is>
      </c>
      <c r="K37" s="97" t="n">
        <v>1.65</v>
      </c>
      <c r="L37" s="66" t="n"/>
    </row>
    <row r="38" ht="17" customHeight="1" s="91">
      <c r="A38" s="64" t="n">
        <v>25</v>
      </c>
      <c r="B38" s="65" t="inlineStr">
        <is>
          <t>监控管理应用</t>
        </is>
      </c>
      <c r="C38" s="65" t="inlineStr">
        <is>
          <t>事件管理</t>
        </is>
      </c>
      <c r="D38" s="66" t="inlineStr">
        <is>
          <t>生效时间：设置规则的生效时间，缺省不选(默认服务器时间生效)</t>
        </is>
      </c>
      <c r="E38" s="69" t="inlineStr">
        <is>
          <t>“时间”区域，设置抑制规则生效的时间和生效周期；-生效时间：设置规则的生效时间，缺省不选(默认服务器</t>
        </is>
      </c>
      <c r="F38" s="73" t="inlineStr">
        <is>
          <t>3.1 生效时间：设置规则的生效时间，缺省不选(默认服务器时间生效)</t>
        </is>
      </c>
      <c r="G38" s="71" t="inlineStr">
        <is>
          <t>EO</t>
        </is>
      </c>
      <c r="H38" s="72" t="n">
        <v>5</v>
      </c>
      <c r="I38" s="74" t="inlineStr">
        <is>
          <t>高</t>
        </is>
      </c>
      <c r="J38" s="74" t="inlineStr">
        <is>
          <t>新增</t>
        </is>
      </c>
      <c r="K38" s="97" t="n">
        <v>1.65</v>
      </c>
      <c r="L38" s="66" t="n"/>
    </row>
    <row r="39" ht="17" customHeight="1" s="91">
      <c r="A39" s="64" t="n">
        <v>26</v>
      </c>
      <c r="B39" s="65" t="inlineStr">
        <is>
          <t>监控管理应用</t>
        </is>
      </c>
      <c r="C39" s="65" t="inlineStr">
        <is>
          <t>事件管理</t>
        </is>
      </c>
      <c r="D39" s="66" t="inlineStr">
        <is>
          <t>按天：设置一周当中规则生效的天数，缺省不选(全周生效)</t>
        </is>
      </c>
      <c r="E39" s="69" t="inlineStr">
        <is>
          <t>“时间”区域，设置抑制规则生效的时间和生效周期；-按天：设置一周当中规则生效的天数，缺省不选(全周生</t>
        </is>
      </c>
      <c r="F39" s="73" t="inlineStr">
        <is>
          <t>3.2 按天：设置一周当中规则生效的天数，缺省不选(全周生效)</t>
        </is>
      </c>
      <c r="G39" s="71" t="inlineStr">
        <is>
          <t>EO</t>
        </is>
      </c>
      <c r="H39" s="72" t="n">
        <v>5</v>
      </c>
      <c r="I39" s="74" t="inlineStr">
        <is>
          <t>高</t>
        </is>
      </c>
      <c r="J39" s="74" t="inlineStr">
        <is>
          <t>新增</t>
        </is>
      </c>
      <c r="K39" s="97" t="n">
        <v>1.65</v>
      </c>
      <c r="L39" s="66" t="n"/>
    </row>
    <row r="40" ht="17" customHeight="1" s="91">
      <c r="A40" s="64" t="n">
        <v>27</v>
      </c>
      <c r="B40" s="65" t="inlineStr">
        <is>
          <t>监控管理应用</t>
        </is>
      </c>
      <c r="C40" s="65" t="inlineStr">
        <is>
          <t>事件管理</t>
        </is>
      </c>
      <c r="D40" s="66" t="inlineStr">
        <is>
          <t>按时段：设置一天当中规则生效的时间段，缺省不选(全时段生效)</t>
        </is>
      </c>
      <c r="E40" s="69" t="inlineStr">
        <is>
          <t>“时间”区域，设置抑制规则生效的时间和生效周期；-按时段：设置一天当中规则生效的时间段，缺省不选(全</t>
        </is>
      </c>
      <c r="F40" s="73" t="inlineStr">
        <is>
          <t>3.3 按时段：设置一天当中规则生效的时间段，缺省不选(全时段生效)</t>
        </is>
      </c>
      <c r="G40" s="71" t="inlineStr">
        <is>
          <t>EO</t>
        </is>
      </c>
      <c r="H40" s="72" t="n">
        <v>5</v>
      </c>
      <c r="I40" s="74" t="inlineStr">
        <is>
          <t>高</t>
        </is>
      </c>
      <c r="J40" s="74" t="inlineStr">
        <is>
          <t>新增</t>
        </is>
      </c>
      <c r="K40" s="97" t="n">
        <v>1.65</v>
      </c>
      <c r="L40" s="66" t="n"/>
    </row>
    <row r="41" ht="17" customHeight="1" s="91">
      <c r="A41" s="64" t="n">
        <v>28</v>
      </c>
      <c r="B41" s="65" t="inlineStr">
        <is>
          <t>监控管理应用</t>
        </is>
      </c>
      <c r="C41" s="65" t="inlineStr">
        <is>
          <t>事件管理</t>
        </is>
      </c>
      <c r="D41" s="66" t="inlineStr">
        <is>
          <t>按时段：设置一天当中规则生效的时间段，缺省不选(全时段生效)</t>
        </is>
      </c>
      <c r="E41" s="69" t="inlineStr">
        <is>
          <t>“动作”区域，选择“丢弃”或“仅标记”-按时段：设置一天当中规则生效的时间段，缺省不选(全时段生效)</t>
        </is>
      </c>
      <c r="F41" s="73" t="inlineStr">
        <is>
          <t>4 “动作”区域，选择“丢弃”或“仅标记”</t>
        </is>
      </c>
      <c r="G41" s="71" t="inlineStr">
        <is>
          <t>EO</t>
        </is>
      </c>
      <c r="H41" s="72" t="n">
        <v>5</v>
      </c>
      <c r="I41" s="74" t="inlineStr">
        <is>
          <t>高</t>
        </is>
      </c>
      <c r="J41" s="74" t="inlineStr">
        <is>
          <t>新增</t>
        </is>
      </c>
      <c r="K41" s="97" t="n">
        <v>1.65</v>
      </c>
      <c r="L41" s="66" t="n"/>
    </row>
    <row r="42" ht="17" customHeight="1" s="91">
      <c r="A42" s="64" t="n">
        <v>29</v>
      </c>
      <c r="B42" s="65" t="inlineStr">
        <is>
          <t>监控管理应用</t>
        </is>
      </c>
      <c r="C42" s="65" t="inlineStr">
        <is>
          <t>事件管理</t>
        </is>
      </c>
      <c r="D42" s="66" t="inlineStr">
        <is>
          <t>"丢弃"，直接物理过滤不再推送给后续环节，</t>
        </is>
      </c>
      <c r="E42" s="69" t="inlineStr">
        <is>
          <t>“动作”区域，选择“丢弃”或“仅标记”-"丢弃"，直接物理过滤不再推送给后续环节，</t>
        </is>
      </c>
      <c r="F42" s="73" t="inlineStr">
        <is>
          <t>4.1 "丢弃"，直接物理过滤不再推送给后续环节，</t>
        </is>
      </c>
      <c r="G42" s="71" t="inlineStr">
        <is>
          <t>EO</t>
        </is>
      </c>
      <c r="H42" s="72" t="n">
        <v>5</v>
      </c>
      <c r="I42" s="74" t="inlineStr">
        <is>
          <t>高</t>
        </is>
      </c>
      <c r="J42" s="74" t="inlineStr">
        <is>
          <t>新增</t>
        </is>
      </c>
      <c r="K42" s="97" t="n">
        <v>1.65</v>
      </c>
      <c r="L42" s="66" t="n"/>
    </row>
    <row r="43" ht="17" customHeight="1" s="91">
      <c r="A43" s="64" t="n">
        <v>30</v>
      </c>
      <c r="B43" s="65" t="inlineStr">
        <is>
          <t>监控管理应用</t>
        </is>
      </c>
      <c r="C43" s="65" t="inlineStr">
        <is>
          <t>事件管理</t>
        </is>
      </c>
      <c r="D43" s="66" t="inlineStr">
        <is>
          <t>"仅标记"：记录抑制标签，继续推送后续环节，可以在事件</t>
        </is>
      </c>
      <c r="E43" s="69" t="inlineStr">
        <is>
          <t>“动作”区域，选择“丢弃”或“仅标记”-"仅标记"：记录抑制标签，继续推送后续环节，可以在事件</t>
        </is>
      </c>
      <c r="F43" s="73" t="inlineStr">
        <is>
          <t>4.2 "仅标记"：记录抑制标签，继续推送后续环节，可以在事件</t>
        </is>
      </c>
      <c r="G43" s="71" t="inlineStr">
        <is>
          <t>EO</t>
        </is>
      </c>
      <c r="H43" s="72" t="n">
        <v>5</v>
      </c>
      <c r="I43" s="74" t="inlineStr">
        <is>
          <t>高</t>
        </is>
      </c>
      <c r="J43" s="74" t="inlineStr">
        <is>
          <t>新增</t>
        </is>
      </c>
      <c r="K43" s="97" t="n">
        <v>1.65</v>
      </c>
      <c r="L43" s="66" t="n"/>
    </row>
    <row r="44" ht="17" customHeight="1" s="91">
      <c r="A44" s="64" t="n">
        <v>31</v>
      </c>
      <c r="B44" s="65" t="inlineStr">
        <is>
          <t>监控管理应用</t>
        </is>
      </c>
      <c r="C44" s="65" t="inlineStr">
        <is>
          <t>事件管理</t>
        </is>
      </c>
      <c r="D44" s="66" t="inlineStr">
        <is>
          <t>"仅标记"：记录抑制标签，继续推送后续环节，可以在事件</t>
        </is>
      </c>
      <c r="E44" s="69" t="inlineStr">
        <is>
          <t>“动作”区域，选择“丢弃”或“仅标记”-"仅标记"：记录抑制标签，继续推送后续环节，可以在事件</t>
        </is>
      </c>
      <c r="F44" s="73" t="inlineStr">
        <is>
          <t>用户在原系统单击“导出规则”将原系统的规则导出；</t>
        </is>
      </c>
      <c r="G44" s="71" t="inlineStr">
        <is>
          <t>EI</t>
        </is>
      </c>
      <c r="H44" s="72" t="n">
        <v>4</v>
      </c>
      <c r="I44" s="74" t="inlineStr">
        <is>
          <t>高</t>
        </is>
      </c>
      <c r="J44" s="74" t="inlineStr">
        <is>
          <t>新增</t>
        </is>
      </c>
      <c r="K44" s="97" t="n">
        <v>1.32</v>
      </c>
      <c r="L44" s="66" t="n"/>
    </row>
    <row r="45" ht="17" customHeight="1" s="91">
      <c r="A45" s="64" t="n">
        <v>32</v>
      </c>
      <c r="B45" s="65" t="inlineStr">
        <is>
          <t>监控管理应用</t>
        </is>
      </c>
      <c r="C45" s="65" t="inlineStr">
        <is>
          <t>事件管理</t>
        </is>
      </c>
      <c r="D45" s="66" t="inlineStr">
        <is>
          <t>"仅标记"：记录抑制标签，继续推送后续环节，可以在事件</t>
        </is>
      </c>
      <c r="E45" s="69" t="inlineStr">
        <is>
          <t>“动作”区域，选择“丢弃”或“仅标记”-"仅标记"：记录抑制标签，继续推送后续环节，可以在事件</t>
        </is>
      </c>
      <c r="F45" s="73" t="inlineStr">
        <is>
          <t>用户在目标系统单击“导入规则”，将原系统中导出的规则文件导入，完成规则的迁移。</t>
        </is>
      </c>
      <c r="G45" s="71" t="inlineStr">
        <is>
          <t>EI</t>
        </is>
      </c>
      <c r="H45" s="72" t="n">
        <v>4</v>
      </c>
      <c r="I45" s="74" t="inlineStr">
        <is>
          <t>高</t>
        </is>
      </c>
      <c r="J45" s="74" t="inlineStr">
        <is>
          <t>新增</t>
        </is>
      </c>
      <c r="K45" s="97" t="n">
        <v>1.32</v>
      </c>
      <c r="L45" s="66" t="n"/>
    </row>
    <row r="46" ht="17" customHeight="1" s="91">
      <c r="A46" s="64" t="n">
        <v>33</v>
      </c>
      <c r="B46" s="65" t="inlineStr">
        <is>
          <t>监控管理应用</t>
        </is>
      </c>
      <c r="C46" s="65" t="inlineStr">
        <is>
          <t>事件管理</t>
        </is>
      </c>
      <c r="D46" s="66" t="inlineStr">
        <is>
          <t>"仅标记"：记录抑制标签，继续推送后续环节，可以在事件</t>
        </is>
      </c>
      <c r="E46" s="69" t="inlineStr">
        <is>
          <t>“动作”区域，选择“丢弃”或“仅标记”-"仅标记"：记录抑制标签，继续推送后续环节，可以在事件</t>
        </is>
      </c>
      <c r="F46" s="73" t="inlineStr">
        <is>
          <t>用户选择规则，点击 查看详情 操作；</t>
        </is>
      </c>
      <c r="G46" s="71" t="inlineStr">
        <is>
          <t>EQ</t>
        </is>
      </c>
      <c r="H46" s="72" t="n">
        <v>4</v>
      </c>
      <c r="I46" s="74" t="inlineStr">
        <is>
          <t>高</t>
        </is>
      </c>
      <c r="J46" s="74" t="inlineStr">
        <is>
          <t>新增</t>
        </is>
      </c>
      <c r="K46" s="97" t="n">
        <v>1.32</v>
      </c>
      <c r="L46" s="66" t="n"/>
    </row>
    <row r="47" ht="17" customHeight="1" s="91">
      <c r="A47" s="64" t="n">
        <v>34</v>
      </c>
      <c r="B47" s="65" t="inlineStr">
        <is>
          <t>监控管理应用</t>
        </is>
      </c>
      <c r="C47" s="65" t="inlineStr">
        <is>
          <t>事件管理</t>
        </is>
      </c>
      <c r="D47" s="66" t="inlineStr">
        <is>
          <t>"仅标记"：记录抑制标签，继续推送后续环节，可以在事件</t>
        </is>
      </c>
      <c r="E47" s="69" t="inlineStr">
        <is>
          <t>“动作”区域，选择“丢弃”或“仅标记”-"仅标记"：记录抑制标签，继续推送后续环节，可以在事件</t>
        </is>
      </c>
      <c r="F47" s="73" t="inlineStr">
        <is>
          <t>系统呈现规则的基础信息，条件信息，时间信息，动作信息，变更日志（查看该规则的创建人、创建时间、修改人</t>
        </is>
      </c>
      <c r="G47" s="71" t="inlineStr">
        <is>
          <t>EI</t>
        </is>
      </c>
      <c r="H47" s="72" t="n">
        <v>4</v>
      </c>
      <c r="I47" s="74" t="inlineStr">
        <is>
          <t>高</t>
        </is>
      </c>
      <c r="J47" s="74" t="inlineStr">
        <is>
          <t>新增</t>
        </is>
      </c>
      <c r="K47" s="97" t="n">
        <v>1.32</v>
      </c>
      <c r="L47" s="66" t="n"/>
    </row>
    <row r="48" ht="17" customHeight="1" s="91">
      <c r="A48" s="64" t="n">
        <v>35</v>
      </c>
      <c r="B48" s="65" t="inlineStr">
        <is>
          <t>监控管理应用</t>
        </is>
      </c>
      <c r="C48" s="65" t="inlineStr">
        <is>
          <t>事件管理</t>
        </is>
      </c>
      <c r="D48" s="66" t="inlineStr">
        <is>
          <t>"仅标记"：记录抑制标签，继续推送后续环节，可以在事件</t>
        </is>
      </c>
      <c r="E48" s="69" t="inlineStr">
        <is>
          <t>“动作”区域，选择“丢弃”或“仅标记”-"仅标记"：记录抑制标签，继续推送后续环节，可以在事件</t>
        </is>
      </c>
      <c r="F48" s="73" t="inlineStr">
        <is>
          <t>新增事件抑制功能</t>
        </is>
      </c>
      <c r="G48" s="71" t="inlineStr">
        <is>
          <t>EI</t>
        </is>
      </c>
      <c r="H48" s="72" t="n">
        <v>4</v>
      </c>
      <c r="I48" s="74" t="inlineStr">
        <is>
          <t>高</t>
        </is>
      </c>
      <c r="J48" s="74" t="inlineStr">
        <is>
          <t>新增</t>
        </is>
      </c>
      <c r="K48" s="97" t="n">
        <v>1.32</v>
      </c>
      <c r="L48" s="66" t="n"/>
    </row>
    <row r="49" ht="17" customHeight="1" s="91">
      <c r="A49" s="64" t="n">
        <v>36</v>
      </c>
      <c r="B49" s="65" t="inlineStr">
        <is>
          <t>监控管理应用</t>
        </is>
      </c>
      <c r="C49" s="65" t="inlineStr">
        <is>
          <t>事件管理</t>
        </is>
      </c>
      <c r="D49" s="66" t="inlineStr">
        <is>
          <t>"仅标记"：记录抑制标签，继续推送后续环节，可以在事件</t>
        </is>
      </c>
      <c r="E49" s="69" t="inlineStr">
        <is>
          <t>支持按配置的抑制规则，对匹配规则的事件进行抑制，根据规则的动作分别进行相应处理-"仅标记"：记录抑制</t>
        </is>
      </c>
      <c r="F49" s="73" t="inlineStr">
        <is>
          <t>1 支持按配置的抑制规则，对匹配规则的事件进行抑制，根据规则的动作分别进行相应处理</t>
        </is>
      </c>
      <c r="G49" s="71" t="inlineStr">
        <is>
          <t>EO</t>
        </is>
      </c>
      <c r="H49" s="72" t="n">
        <v>5</v>
      </c>
      <c r="I49" s="74" t="inlineStr">
        <is>
          <t>高</t>
        </is>
      </c>
      <c r="J49" s="74" t="inlineStr">
        <is>
          <t>新增</t>
        </is>
      </c>
      <c r="K49" s="97" t="n">
        <v>1.65</v>
      </c>
      <c r="L49" s="66" t="n"/>
    </row>
    <row r="50" ht="17" customHeight="1" s="91">
      <c r="A50" s="64" t="n">
        <v>37</v>
      </c>
      <c r="B50" s="65" t="inlineStr">
        <is>
          <t>监控管理应用</t>
        </is>
      </c>
      <c r="C50" s="65" t="inlineStr">
        <is>
          <t>事件管理</t>
        </is>
      </c>
      <c r="D50" s="66" t="inlineStr">
        <is>
          <t>"丢弃"，直接物理过滤不再推送给后续环节，记录到ES丢弃索引，方便核查，该表保存3个月周期的数据；</t>
        </is>
      </c>
      <c r="E50" s="69" t="inlineStr">
        <is>
          <t>支持按配置的抑制规则，对匹配规则的事件进行抑制，根据规则的动作分别进行相应处理-"丢弃"，直接物理过</t>
        </is>
      </c>
      <c r="F50" s="73" t="inlineStr">
        <is>
          <t>1.1 "丢弃"，直接物理过滤不再推送给后续环节，记录到ES丢弃索引，方便核查，该表保存3个月周期的数据；</t>
        </is>
      </c>
      <c r="G50" s="71" t="inlineStr">
        <is>
          <t>EO</t>
        </is>
      </c>
      <c r="H50" s="72" t="n">
        <v>5</v>
      </c>
      <c r="I50" s="74" t="inlineStr">
        <is>
          <t>高</t>
        </is>
      </c>
      <c r="J50" s="74" t="inlineStr">
        <is>
          <t>新增</t>
        </is>
      </c>
      <c r="K50" s="97" t="n">
        <v>1.65</v>
      </c>
      <c r="L50" s="66" t="n"/>
    </row>
    <row r="51" ht="17" customHeight="1" s="91">
      <c r="A51" s="64" t="n">
        <v>38</v>
      </c>
      <c r="B51" s="65" t="inlineStr">
        <is>
          <t>监控管理应用</t>
        </is>
      </c>
      <c r="C51" s="65" t="inlineStr">
        <is>
          <t>事件管理</t>
        </is>
      </c>
      <c r="D51" s="66" t="inlineStr">
        <is>
          <t>"仅标记"：记录抑制标签和匹配的抑制规则ID后，直接入ES库，不再推送给后续环节</t>
        </is>
      </c>
      <c r="E51" s="69" t="inlineStr">
        <is>
          <t>支持按配置的抑制规则，对匹配规则的事件进行抑制，根据规则的动作分别进行相应处理-"仅标记"：记录抑制</t>
        </is>
      </c>
      <c r="F51" s="73" t="inlineStr">
        <is>
          <t>1.2 "仅标记"：记录抑制标签和匹配的抑制规则ID后，直接入ES库，不再推送给后续环节</t>
        </is>
      </c>
      <c r="G51" s="71" t="inlineStr">
        <is>
          <t>EO</t>
        </is>
      </c>
      <c r="H51" s="72" t="n">
        <v>5</v>
      </c>
      <c r="I51" s="74" t="inlineStr">
        <is>
          <t>高</t>
        </is>
      </c>
      <c r="J51" s="74" t="inlineStr">
        <is>
          <t>新增</t>
        </is>
      </c>
      <c r="K51" s="97" t="n">
        <v>1.65</v>
      </c>
      <c r="L51" s="66" t="n"/>
    </row>
    <row r="52" ht="17" customHeight="1" s="91">
      <c r="A52" s="64" t="n">
        <v>39</v>
      </c>
      <c r="B52" s="65" t="inlineStr">
        <is>
          <t>监控管理应用</t>
        </is>
      </c>
      <c r="C52" s="65" t="inlineStr">
        <is>
          <t>事件管理</t>
        </is>
      </c>
      <c r="D52" s="66" t="inlineStr">
        <is>
          <t>"仅标记"：记录抑制标签和匹配的抑制规则ID后，直接入ES库，不再推送给后续环节</t>
        </is>
      </c>
      <c r="E52" s="69" t="inlineStr">
        <is>
          <t>规则启用和禁用，5分钟内生效；-"仅标记"：记录抑制标签和匹配的抑制规则ID后，直接入ES库，不再推</t>
        </is>
      </c>
      <c r="F52" s="73" t="inlineStr">
        <is>
          <t>2 规则启用和禁用，5分钟内生效；</t>
        </is>
      </c>
      <c r="G52" s="71" t="inlineStr">
        <is>
          <t>EO</t>
        </is>
      </c>
      <c r="H52" s="72" t="n">
        <v>5</v>
      </c>
      <c r="I52" s="74" t="inlineStr">
        <is>
          <t>高</t>
        </is>
      </c>
      <c r="J52" s="74" t="inlineStr">
        <is>
          <t>新增</t>
        </is>
      </c>
      <c r="K52" s="97" t="n">
        <v>1.65</v>
      </c>
      <c r="L52" s="66" t="n"/>
    </row>
    <row r="53" ht="17" customHeight="1" s="91">
      <c r="A53" s="64" t="inlineStr">
        <is>
          <t>合计</t>
        </is>
      </c>
      <c r="B53" s="65" t="inlineStr"/>
      <c r="C53" s="65" t="inlineStr"/>
      <c r="D53" s="66" t="inlineStr"/>
      <c r="E53" s="69" t="inlineStr"/>
      <c r="F53" s="73" t="inlineStr"/>
      <c r="G53" s="71" t="inlineStr"/>
      <c r="H53" s="72" t="n">
        <v>181</v>
      </c>
      <c r="I53" s="74" t="inlineStr"/>
      <c r="J53" s="74" t="inlineStr"/>
      <c r="K53" s="97" t="n">
        <v>59.73</v>
      </c>
      <c r="L53" s="66" t="n"/>
    </row>
    <row r="54" ht="17" customHeight="1" s="91">
      <c r="A54" s="64" t="n"/>
      <c r="B54" s="65" t="n"/>
      <c r="C54" s="65" t="n"/>
      <c r="D54" s="66" t="n"/>
      <c r="E54" s="69" t="n"/>
      <c r="F54" s="73" t="n"/>
      <c r="G54" s="71" t="n"/>
      <c r="H54" s="72" t="n"/>
      <c r="I54" s="74" t="n"/>
      <c r="J54" s="74" t="n"/>
      <c r="K54" s="97" t="n"/>
      <c r="L54" s="66" t="n"/>
    </row>
    <row r="55" ht="17" customHeight="1" s="91">
      <c r="A55" s="64" t="n"/>
      <c r="B55" s="65" t="n"/>
      <c r="C55" s="65" t="n"/>
      <c r="D55" s="66" t="n"/>
      <c r="E55" s="69" t="n"/>
      <c r="F55" s="73" t="n"/>
      <c r="G55" s="71" t="n"/>
      <c r="H55" s="72" t="n"/>
      <c r="I55" s="74" t="n"/>
      <c r="J55" s="74" t="n"/>
      <c r="K55" s="97" t="n"/>
      <c r="L55" s="66" t="n"/>
    </row>
    <row r="56" ht="17" customHeight="1" s="91">
      <c r="A56" s="64" t="n"/>
      <c r="B56" s="65" t="n"/>
      <c r="C56" s="65" t="n"/>
      <c r="D56" s="66" t="n"/>
      <c r="E56" s="69" t="n"/>
      <c r="F56" s="73" t="n"/>
      <c r="G56" s="71" t="n"/>
      <c r="H56" s="72" t="n"/>
      <c r="I56" s="74" t="n"/>
      <c r="J56" s="74" t="n"/>
      <c r="K56" s="97" t="n"/>
      <c r="L56" s="66" t="n"/>
    </row>
    <row r="57" ht="17" customHeight="1" s="91">
      <c r="A57" s="64" t="n"/>
      <c r="B57" s="65" t="n"/>
      <c r="C57" s="65" t="n"/>
      <c r="D57" s="66" t="n"/>
      <c r="E57" s="69" t="n"/>
      <c r="F57" s="73" t="n"/>
      <c r="G57" s="71" t="n"/>
      <c r="H57" s="72" t="n"/>
      <c r="I57" s="74" t="n"/>
      <c r="J57" s="74" t="n"/>
      <c r="K57" s="97" t="n"/>
      <c r="L57" s="66" t="n"/>
    </row>
    <row r="58" ht="17" customHeight="1" s="91">
      <c r="A58" s="64" t="n"/>
      <c r="B58" s="65" t="n"/>
      <c r="C58" s="65" t="n"/>
      <c r="D58" s="66" t="n"/>
      <c r="E58" s="69" t="n"/>
      <c r="F58" s="73" t="n"/>
      <c r="G58" s="71" t="n"/>
      <c r="H58" s="72" t="n"/>
      <c r="I58" s="74" t="n"/>
      <c r="J58" s="74" t="n"/>
      <c r="K58" s="97" t="n"/>
      <c r="L58" s="66" t="n"/>
    </row>
    <row r="59" ht="17" customHeight="1" s="91">
      <c r="A59" s="64" t="n"/>
      <c r="B59" s="65" t="n"/>
      <c r="C59" s="65" t="n"/>
      <c r="D59" s="66" t="n"/>
      <c r="E59" s="69" t="n"/>
      <c r="F59" s="73" t="n"/>
      <c r="G59" s="71" t="n"/>
      <c r="H59" s="72" t="n"/>
      <c r="I59" s="74" t="n"/>
      <c r="J59" s="74" t="n"/>
      <c r="K59" s="97" t="n"/>
      <c r="L59" s="66" t="n"/>
    </row>
    <row r="60" ht="17" customHeight="1" s="91">
      <c r="A60" s="64" t="n"/>
      <c r="B60" s="65" t="n"/>
      <c r="C60" s="65" t="n"/>
      <c r="D60" s="66" t="n"/>
      <c r="E60" s="69" t="n"/>
      <c r="F60" s="73" t="n"/>
      <c r="G60" s="71" t="n"/>
      <c r="H60" s="72" t="n"/>
      <c r="I60" s="74" t="n"/>
      <c r="J60" s="74" t="n"/>
      <c r="K60" s="97" t="n"/>
      <c r="L60" s="66" t="n"/>
    </row>
    <row r="61" ht="17" customHeight="1" s="91">
      <c r="A61" s="64" t="n"/>
      <c r="B61" s="65" t="n"/>
      <c r="C61" s="65" t="n"/>
      <c r="D61" s="66" t="n"/>
      <c r="E61" s="69" t="n"/>
      <c r="F61" s="73" t="n"/>
      <c r="G61" s="71" t="n"/>
      <c r="H61" s="72" t="n"/>
      <c r="I61" s="74" t="n"/>
      <c r="J61" s="74" t="n"/>
      <c r="K61" s="97" t="n"/>
      <c r="L61" s="66" t="n"/>
    </row>
    <row r="62" ht="17" customHeight="1" s="91">
      <c r="A62" s="64" t="n"/>
      <c r="B62" s="65" t="n"/>
      <c r="C62" s="65" t="n"/>
      <c r="D62" s="66" t="n"/>
      <c r="E62" s="69" t="n"/>
      <c r="F62" s="73" t="n"/>
      <c r="G62" s="71" t="n"/>
      <c r="H62" s="72" t="n"/>
      <c r="I62" s="74" t="n"/>
      <c r="J62" s="74" t="n"/>
      <c r="K62" s="97" t="n"/>
      <c r="L62" s="66" t="n"/>
    </row>
    <row r="63" ht="17" customHeight="1" s="91">
      <c r="A63" s="64" t="n"/>
      <c r="B63" s="65" t="n"/>
      <c r="C63" s="65" t="n"/>
      <c r="D63" s="66" t="n"/>
      <c r="E63" s="69" t="n"/>
      <c r="F63" s="73" t="n"/>
      <c r="G63" s="71" t="n"/>
      <c r="H63" s="72" t="n"/>
      <c r="I63" s="74" t="n"/>
      <c r="J63" s="74" t="n"/>
      <c r="K63" s="97" t="n"/>
      <c r="L63" s="66" t="n"/>
    </row>
    <row r="64" ht="17" customHeight="1" s="91">
      <c r="A64" s="64" t="n"/>
      <c r="B64" s="65" t="n"/>
      <c r="C64" s="65" t="n"/>
      <c r="D64" s="66" t="n"/>
      <c r="E64" s="69" t="n"/>
      <c r="F64" s="73" t="n"/>
      <c r="G64" s="71" t="n"/>
      <c r="H64" s="72" t="n"/>
      <c r="I64" s="74" t="n"/>
      <c r="J64" s="74" t="n"/>
      <c r="K64" s="97" t="n"/>
      <c r="L64" s="66" t="n"/>
    </row>
    <row r="65" ht="17" customHeight="1" s="91">
      <c r="A65" s="64" t="n"/>
      <c r="B65" s="65" t="n"/>
      <c r="C65" s="65" t="n"/>
      <c r="D65" s="66" t="n"/>
      <c r="E65" s="69" t="n"/>
      <c r="F65" s="73" t="n"/>
      <c r="G65" s="71" t="n"/>
      <c r="H65" s="72" t="n"/>
      <c r="I65" s="74" t="n"/>
      <c r="J65" s="74" t="n"/>
      <c r="K65" s="97" t="n"/>
      <c r="L65" s="66" t="n"/>
    </row>
    <row r="66" ht="17" customHeight="1" s="91">
      <c r="A66" s="64" t="n"/>
      <c r="B66" s="65" t="n"/>
      <c r="C66" s="65" t="n"/>
      <c r="D66" s="66" t="n"/>
      <c r="E66" s="69" t="n"/>
      <c r="F66" s="73" t="n"/>
      <c r="G66" s="71" t="n"/>
      <c r="H66" s="72" t="n"/>
      <c r="I66" s="74" t="n"/>
      <c r="J66" s="74" t="n"/>
      <c r="K66" s="97" t="n"/>
      <c r="L66" s="66" t="n"/>
    </row>
    <row r="67" ht="17" customHeight="1" s="91">
      <c r="A67" s="64" t="n"/>
      <c r="B67" s="65" t="n"/>
      <c r="C67" s="65" t="n"/>
      <c r="D67" s="66" t="n"/>
      <c r="E67" s="69" t="n"/>
      <c r="F67" s="73" t="n"/>
      <c r="G67" s="71" t="n"/>
      <c r="H67" s="72" t="n"/>
      <c r="I67" s="74" t="n"/>
      <c r="J67" s="74" t="n"/>
      <c r="K67" s="97" t="n"/>
      <c r="L67" s="66" t="n"/>
    </row>
    <row r="68" ht="17" customHeight="1" s="91">
      <c r="A68" s="64" t="n"/>
      <c r="B68" s="65" t="n"/>
      <c r="C68" s="65" t="n"/>
      <c r="D68" s="66" t="n"/>
      <c r="E68" s="69" t="n"/>
      <c r="F68" s="73" t="n"/>
      <c r="G68" s="71" t="n"/>
      <c r="H68" s="72" t="n"/>
      <c r="I68" s="74" t="n"/>
      <c r="J68" s="74" t="n"/>
      <c r="K68" s="97" t="n"/>
      <c r="L68" s="66" t="n"/>
    </row>
    <row r="69" ht="17" customHeight="1" s="91">
      <c r="A69" s="64" t="n"/>
      <c r="B69" s="65" t="n"/>
      <c r="C69" s="65" t="n"/>
      <c r="D69" s="66" t="n"/>
      <c r="E69" s="69" t="n"/>
      <c r="F69" s="73" t="n"/>
      <c r="G69" s="71" t="n"/>
      <c r="H69" s="72" t="n"/>
      <c r="I69" s="74" t="n"/>
      <c r="J69" s="74" t="n"/>
      <c r="K69" s="97" t="n"/>
      <c r="L69" s="66" t="n"/>
    </row>
    <row r="70" ht="17" customHeight="1" s="91">
      <c r="A70" s="64" t="n"/>
      <c r="B70" s="65" t="n"/>
      <c r="C70" s="65" t="n"/>
      <c r="D70" s="66" t="n"/>
      <c r="E70" s="69" t="n"/>
      <c r="F70" s="73" t="n"/>
      <c r="G70" s="71" t="n"/>
      <c r="H70" s="72" t="n"/>
      <c r="I70" s="74" t="n"/>
      <c r="J70" s="74" t="n"/>
      <c r="K70" s="97" t="n"/>
      <c r="L70" s="66" t="n"/>
    </row>
    <row r="71" ht="17" customHeight="1" s="91">
      <c r="A71" s="64" t="n"/>
      <c r="B71" s="65" t="n"/>
      <c r="C71" s="65" t="n"/>
      <c r="D71" s="66" t="n"/>
      <c r="E71" s="69" t="n"/>
      <c r="F71" s="73" t="n"/>
      <c r="G71" s="71" t="n"/>
      <c r="H71" s="72" t="n"/>
      <c r="I71" s="74" t="n"/>
      <c r="J71" s="74" t="n"/>
      <c r="K71" s="97" t="n"/>
      <c r="L71" s="66" t="n"/>
    </row>
    <row r="72" ht="17" customHeight="1" s="91">
      <c r="A72" s="64" t="n"/>
      <c r="B72" s="65" t="n"/>
      <c r="C72" s="65" t="n"/>
      <c r="D72" s="66" t="n"/>
      <c r="E72" s="69" t="n"/>
      <c r="F72" s="73" t="n"/>
      <c r="G72" s="71" t="n"/>
      <c r="H72" s="72" t="n"/>
      <c r="I72" s="74" t="n"/>
      <c r="J72" s="74" t="n"/>
      <c r="K72" s="97" t="n"/>
      <c r="L72" s="66" t="n"/>
    </row>
    <row r="73" ht="17" customHeight="1" s="91">
      <c r="A73" s="64" t="n"/>
      <c r="B73" s="65" t="n"/>
      <c r="C73" s="65" t="n"/>
      <c r="D73" s="66" t="n"/>
      <c r="E73" s="69" t="n"/>
      <c r="F73" s="73" t="n"/>
      <c r="G73" s="71" t="n"/>
      <c r="H73" s="72" t="n"/>
      <c r="I73" s="74" t="n"/>
      <c r="J73" s="74" t="n"/>
      <c r="K73" s="97" t="n"/>
      <c r="L73" s="66" t="n"/>
    </row>
    <row r="74" ht="17" customHeight="1" s="91">
      <c r="A74" s="64" t="n"/>
      <c r="B74" s="65" t="n"/>
      <c r="C74" s="65" t="n"/>
      <c r="D74" s="66" t="n"/>
      <c r="E74" s="69" t="n"/>
      <c r="F74" s="73" t="n"/>
      <c r="G74" s="71" t="n"/>
      <c r="H74" s="72" t="n"/>
      <c r="I74" s="74" t="n"/>
      <c r="J74" s="74" t="n"/>
      <c r="K74" s="97" t="n"/>
      <c r="L74" s="66" t="n"/>
    </row>
    <row r="75" ht="17" customHeight="1" s="91">
      <c r="A75" s="64" t="n"/>
      <c r="B75" s="65" t="n"/>
      <c r="C75" s="65" t="n"/>
      <c r="D75" s="66" t="n"/>
      <c r="E75" s="69" t="n"/>
      <c r="F75" s="73" t="n"/>
      <c r="G75" s="71" t="n"/>
      <c r="H75" s="72" t="n"/>
      <c r="I75" s="74" t="n"/>
      <c r="J75" s="74" t="n"/>
      <c r="K75" s="97" t="n"/>
      <c r="L75" s="66" t="n"/>
    </row>
    <row r="76" ht="17" customHeight="1" s="91">
      <c r="A76" s="64" t="n"/>
      <c r="B76" s="65" t="n"/>
      <c r="C76" s="65" t="n"/>
      <c r="D76" s="66" t="n"/>
      <c r="E76" s="69" t="n"/>
      <c r="F76" s="73" t="n"/>
      <c r="G76" s="71" t="n"/>
      <c r="H76" s="72" t="n"/>
      <c r="I76" s="74" t="n"/>
      <c r="J76" s="74" t="n"/>
      <c r="K76" s="97" t="n"/>
      <c r="L76" s="66" t="n"/>
    </row>
    <row r="77" ht="17" customHeight="1" s="91">
      <c r="A77" s="64" t="n"/>
      <c r="B77" s="65" t="n"/>
      <c r="C77" s="65" t="n"/>
      <c r="D77" s="66" t="n"/>
      <c r="E77" s="69" t="n"/>
      <c r="F77" s="73" t="n"/>
      <c r="G77" s="71" t="n"/>
      <c r="H77" s="72" t="n"/>
      <c r="I77" s="74" t="n"/>
      <c r="J77" s="74" t="n"/>
      <c r="K77" s="97" t="n"/>
      <c r="L77" s="66" t="n"/>
    </row>
    <row r="78" ht="17" customHeight="1" s="91">
      <c r="A78" s="64" t="n"/>
      <c r="B78" s="65" t="n"/>
      <c r="C78" s="65" t="n"/>
      <c r="D78" s="66" t="n"/>
      <c r="E78" s="69" t="n"/>
      <c r="F78" s="73" t="n"/>
      <c r="G78" s="71" t="n"/>
      <c r="H78" s="72" t="n"/>
      <c r="I78" s="74" t="n"/>
      <c r="J78" s="74" t="n"/>
      <c r="K78" s="97" t="n"/>
      <c r="L78" s="66" t="n"/>
    </row>
    <row r="79" ht="17" customHeight="1" s="91">
      <c r="A79" s="64" t="n"/>
      <c r="B79" s="65" t="n"/>
      <c r="C79" s="65" t="n"/>
      <c r="D79" s="66" t="n"/>
      <c r="E79" s="69" t="n"/>
      <c r="F79" s="73" t="n"/>
      <c r="G79" s="71" t="n"/>
      <c r="H79" s="72" t="n"/>
      <c r="I79" s="74" t="n"/>
      <c r="J79" s="74" t="n"/>
      <c r="K79" s="97" t="n"/>
      <c r="L79" s="66" t="n"/>
    </row>
    <row r="80" ht="17" customHeight="1" s="91">
      <c r="A80" s="64" t="n"/>
      <c r="B80" s="65" t="n"/>
      <c r="C80" s="65" t="n"/>
      <c r="D80" s="66" t="n"/>
      <c r="E80" s="69" t="n"/>
      <c r="F80" s="73" t="n"/>
      <c r="G80" s="71" t="n"/>
      <c r="H80" s="72" t="n"/>
      <c r="I80" s="74" t="n"/>
      <c r="J80" s="74" t="n"/>
      <c r="K80" s="97" t="n"/>
      <c r="L80" s="66" t="n"/>
    </row>
    <row r="81" ht="17" customHeight="1" s="91">
      <c r="A81" s="64" t="n"/>
      <c r="B81" s="65" t="n"/>
      <c r="C81" s="65" t="n"/>
      <c r="D81" s="66" t="n"/>
      <c r="E81" s="69" t="n"/>
      <c r="F81" s="73" t="n"/>
      <c r="G81" s="71" t="n"/>
      <c r="H81" s="72" t="n"/>
      <c r="I81" s="74" t="n"/>
      <c r="J81" s="74" t="n"/>
      <c r="K81" s="97" t="n"/>
      <c r="L81" s="66" t="n"/>
    </row>
    <row r="82" ht="17" customHeight="1" s="91">
      <c r="A82" s="64" t="n"/>
      <c r="B82" s="65" t="n"/>
      <c r="C82" s="65" t="n"/>
      <c r="D82" s="66" t="n"/>
      <c r="E82" s="69" t="n"/>
      <c r="F82" s="73" t="n"/>
      <c r="G82" s="71" t="n"/>
      <c r="H82" s="72" t="n"/>
      <c r="I82" s="74" t="n"/>
      <c r="J82" s="74" t="n"/>
      <c r="K82" s="97" t="n"/>
      <c r="L82" s="66" t="n"/>
    </row>
    <row r="83" ht="17" customHeight="1" s="91">
      <c r="A83" s="64" t="n"/>
      <c r="B83" s="65" t="n"/>
      <c r="C83" s="65" t="n"/>
      <c r="D83" s="66" t="n"/>
      <c r="E83" s="69" t="n"/>
      <c r="F83" s="73" t="n"/>
      <c r="G83" s="71" t="n"/>
      <c r="H83" s="72" t="n"/>
      <c r="I83" s="74" t="n"/>
      <c r="J83" s="74" t="n"/>
      <c r="K83" s="97" t="n"/>
      <c r="L83" s="66" t="n"/>
    </row>
    <row r="84" ht="17" customHeight="1" s="91">
      <c r="A84" s="64" t="n"/>
      <c r="B84" s="65" t="n"/>
      <c r="C84" s="65" t="n"/>
      <c r="D84" s="66" t="n"/>
      <c r="E84" s="69" t="n"/>
      <c r="F84" s="73" t="n"/>
      <c r="G84" s="71" t="n"/>
      <c r="H84" s="72" t="n"/>
      <c r="I84" s="74" t="n"/>
      <c r="J84" s="74" t="n"/>
      <c r="K84" s="97" t="n"/>
      <c r="L84" s="66" t="n"/>
    </row>
    <row r="85" ht="17" customHeight="1" s="91">
      <c r="A85" s="64" t="n"/>
      <c r="B85" s="65" t="n"/>
      <c r="C85" s="65" t="n"/>
      <c r="D85" s="66" t="n"/>
      <c r="E85" s="69" t="n"/>
      <c r="F85" s="73" t="n"/>
      <c r="G85" s="71" t="n"/>
      <c r="H85" s="72" t="n"/>
      <c r="I85" s="74" t="n"/>
      <c r="J85" s="74" t="n"/>
      <c r="K85" s="97" t="n"/>
      <c r="L85" s="66" t="n"/>
    </row>
    <row r="86" ht="17" customHeight="1" s="91">
      <c r="A86" s="64" t="n"/>
      <c r="B86" s="65" t="n"/>
      <c r="C86" s="65" t="n"/>
      <c r="D86" s="66" t="n"/>
      <c r="E86" s="69" t="n"/>
      <c r="F86" s="73" t="n"/>
      <c r="G86" s="71" t="n"/>
      <c r="H86" s="72" t="n"/>
      <c r="I86" s="74" t="n"/>
      <c r="J86" s="74" t="n"/>
      <c r="K86" s="97" t="n"/>
      <c r="L86" s="66" t="n"/>
    </row>
    <row r="87" ht="17" customHeight="1" s="91">
      <c r="A87" s="64" t="n"/>
      <c r="B87" s="65" t="n"/>
      <c r="C87" s="65" t="n"/>
      <c r="D87" s="66" t="n"/>
      <c r="E87" s="69" t="n"/>
      <c r="F87" s="73" t="n"/>
      <c r="G87" s="71" t="n"/>
      <c r="H87" s="72" t="n"/>
      <c r="I87" s="74" t="n"/>
      <c r="J87" s="74" t="n"/>
      <c r="K87" s="97" t="n"/>
      <c r="L87" s="66" t="n"/>
    </row>
    <row r="88" ht="17" customHeight="1" s="91">
      <c r="A88" s="64" t="n"/>
      <c r="B88" s="65" t="n"/>
      <c r="C88" s="65" t="n"/>
      <c r="D88" s="66" t="n"/>
      <c r="E88" s="69" t="n"/>
      <c r="F88" s="73" t="n"/>
      <c r="G88" s="71" t="n"/>
      <c r="H88" s="72" t="n"/>
      <c r="I88" s="74" t="n"/>
      <c r="J88" s="74" t="n"/>
      <c r="K88" s="97" t="n"/>
      <c r="L88" s="66" t="n"/>
    </row>
    <row r="89" ht="17" customHeight="1" s="91">
      <c r="A89" s="64" t="n"/>
      <c r="B89" s="65" t="n"/>
      <c r="C89" s="65" t="n"/>
      <c r="D89" s="66" t="n"/>
      <c r="E89" s="69" t="n"/>
      <c r="F89" s="73" t="n"/>
      <c r="G89" s="71" t="n"/>
      <c r="H89" s="72" t="n"/>
      <c r="I89" s="74" t="n"/>
      <c r="J89" s="74" t="n"/>
      <c r="K89" s="97" t="n"/>
      <c r="L89" s="66" t="n"/>
    </row>
    <row r="90" ht="17" customHeight="1" s="91">
      <c r="A90" s="64" t="n"/>
      <c r="B90" s="65" t="n"/>
      <c r="C90" s="65" t="n"/>
      <c r="D90" s="66" t="n"/>
      <c r="E90" s="69" t="n"/>
      <c r="F90" s="73" t="n"/>
      <c r="G90" s="71" t="n"/>
      <c r="H90" s="72" t="n"/>
      <c r="I90" s="74" t="n"/>
      <c r="J90" s="74" t="n"/>
      <c r="K90" s="97" t="n"/>
      <c r="L90" s="66" t="n"/>
    </row>
    <row r="91" ht="17" customHeight="1" s="91">
      <c r="A91" s="64" t="n"/>
      <c r="B91" s="65" t="n"/>
      <c r="C91" s="65" t="n"/>
      <c r="D91" s="66" t="n"/>
      <c r="E91" s="69" t="n"/>
      <c r="F91" s="73" t="n"/>
      <c r="G91" s="71" t="n"/>
      <c r="H91" s="72" t="n"/>
      <c r="I91" s="74" t="n"/>
      <c r="J91" s="74" t="n"/>
      <c r="K91" s="97" t="n"/>
      <c r="L91" s="66" t="n"/>
    </row>
    <row r="92" ht="17" customHeight="1" s="91">
      <c r="A92" s="64" t="n"/>
      <c r="B92" s="65" t="n"/>
      <c r="C92" s="65" t="n"/>
      <c r="D92" s="66" t="n"/>
      <c r="E92" s="69" t="n"/>
      <c r="F92" s="73" t="n"/>
      <c r="G92" s="71" t="n"/>
      <c r="H92" s="72" t="n"/>
      <c r="I92" s="74" t="n"/>
      <c r="J92" s="74" t="n"/>
      <c r="K92" s="97" t="n"/>
      <c r="L92" s="66" t="n"/>
    </row>
    <row r="93" ht="17" customHeight="1" s="91">
      <c r="A93" s="64" t="n"/>
      <c r="B93" s="65" t="n"/>
      <c r="C93" s="65" t="n"/>
      <c r="D93" s="66" t="n"/>
      <c r="E93" s="69" t="n"/>
      <c r="F93" s="73" t="n"/>
      <c r="G93" s="71" t="n"/>
      <c r="H93" s="72" t="n"/>
      <c r="I93" s="74" t="n"/>
      <c r="J93" s="74" t="n"/>
      <c r="K93" s="97" t="n"/>
      <c r="L93" s="66" t="n"/>
    </row>
    <row r="94" ht="17" customHeight="1" s="91">
      <c r="A94" s="64" t="n"/>
      <c r="B94" s="65" t="n"/>
      <c r="C94" s="65" t="n"/>
      <c r="D94" s="66" t="n"/>
      <c r="E94" s="69" t="n"/>
      <c r="F94" s="73" t="n"/>
      <c r="G94" s="71" t="n"/>
      <c r="H94" s="72" t="n"/>
      <c r="I94" s="74" t="n"/>
      <c r="J94" s="74" t="n"/>
      <c r="K94" s="97" t="n"/>
      <c r="L94" s="66" t="n"/>
    </row>
    <row r="95" ht="17" customHeight="1" s="91">
      <c r="A95" s="64" t="n"/>
      <c r="B95" s="65" t="n"/>
      <c r="C95" s="65" t="n"/>
      <c r="D95" s="66" t="n"/>
      <c r="E95" s="69" t="n"/>
      <c r="F95" s="73" t="n"/>
      <c r="G95" s="71" t="n"/>
      <c r="H95" s="72" t="n"/>
      <c r="I95" s="74" t="n"/>
      <c r="J95" s="74" t="n"/>
      <c r="K95" s="97" t="n"/>
      <c r="L95" s="66" t="n"/>
    </row>
    <row r="96" ht="17" customHeight="1" s="91">
      <c r="A96" s="64" t="n"/>
      <c r="B96" s="65" t="n"/>
      <c r="C96" s="65" t="n"/>
      <c r="D96" s="66" t="n"/>
      <c r="E96" s="69" t="n"/>
      <c r="F96" s="73" t="n"/>
      <c r="G96" s="71" t="n"/>
      <c r="H96" s="72" t="n"/>
      <c r="I96" s="74" t="n"/>
      <c r="J96" s="74" t="n"/>
      <c r="K96" s="97" t="n"/>
      <c r="L96" s="66" t="n"/>
    </row>
    <row r="97" ht="17" customHeight="1" s="91">
      <c r="A97" s="64" t="n"/>
      <c r="B97" s="65" t="n"/>
      <c r="C97" s="65" t="n"/>
      <c r="D97" s="66" t="n"/>
      <c r="E97" s="69" t="n"/>
      <c r="F97" s="73" t="n"/>
      <c r="G97" s="71" t="n"/>
      <c r="H97" s="72" t="n"/>
      <c r="I97" s="74" t="n"/>
      <c r="J97" s="74" t="n"/>
      <c r="K97" s="97" t="n"/>
      <c r="L97" s="66" t="n"/>
    </row>
    <row r="98" ht="17" customHeight="1" s="91">
      <c r="A98" s="64" t="n"/>
      <c r="B98" s="65" t="n"/>
      <c r="C98" s="65" t="n"/>
      <c r="D98" s="66" t="n"/>
      <c r="E98" s="69" t="n"/>
      <c r="F98" s="73" t="n"/>
      <c r="G98" s="71" t="n"/>
      <c r="H98" s="72" t="n"/>
      <c r="I98" s="74" t="n"/>
      <c r="J98" s="74" t="n"/>
      <c r="K98" s="97" t="n"/>
      <c r="L98" s="66" t="n"/>
    </row>
    <row r="99" ht="17" customHeight="1" s="91">
      <c r="A99" s="64" t="n"/>
      <c r="B99" s="65" t="n"/>
      <c r="C99" s="65" t="n"/>
      <c r="D99" s="66" t="n"/>
      <c r="E99" s="69" t="n"/>
      <c r="F99" s="73" t="n"/>
      <c r="G99" s="71" t="n"/>
      <c r="H99" s="72" t="n"/>
      <c r="I99" s="74" t="n"/>
      <c r="J99" s="74" t="n"/>
      <c r="K99" s="97" t="n"/>
      <c r="L99" s="66" t="n"/>
    </row>
    <row r="100" ht="17" customHeight="1" s="91">
      <c r="A100" s="64" t="n"/>
      <c r="B100" s="65" t="n"/>
      <c r="C100" s="65" t="n"/>
      <c r="D100" s="66" t="n"/>
      <c r="E100" s="69" t="n"/>
      <c r="F100" s="73" t="n"/>
      <c r="G100" s="71" t="n"/>
      <c r="H100" s="72" t="n"/>
      <c r="I100" s="74" t="n"/>
      <c r="J100" s="74" t="n"/>
      <c r="K100" s="97" t="n"/>
      <c r="L100" s="66" t="n"/>
    </row>
    <row r="101" ht="17" customHeight="1" s="91">
      <c r="A101" s="64" t="n"/>
      <c r="B101" s="65" t="n"/>
      <c r="C101" s="65" t="n"/>
      <c r="D101" s="66" t="n"/>
      <c r="E101" s="69" t="n"/>
      <c r="F101" s="73" t="n"/>
      <c r="G101" s="71" t="n"/>
      <c r="H101" s="72" t="n"/>
      <c r="I101" s="74" t="n"/>
      <c r="J101" s="74" t="n"/>
      <c r="K101" s="97" t="n"/>
      <c r="L101" s="66" t="n"/>
    </row>
    <row r="102" ht="17" customHeight="1" s="91">
      <c r="A102" s="64" t="n"/>
      <c r="B102" s="65" t="n"/>
      <c r="C102" s="65" t="n"/>
      <c r="D102" s="66" t="n"/>
      <c r="E102" s="69" t="n"/>
      <c r="F102" s="73" t="n"/>
      <c r="G102" s="71" t="n"/>
      <c r="H102" s="72" t="n"/>
      <c r="I102" s="74" t="n"/>
      <c r="J102" s="74" t="n"/>
      <c r="K102" s="97" t="n"/>
      <c r="L102" s="66" t="n"/>
    </row>
    <row r="103" ht="17" customHeight="1" s="91">
      <c r="A103" s="64" t="n"/>
      <c r="B103" s="65" t="n"/>
      <c r="C103" s="65" t="n"/>
      <c r="D103" s="66" t="n"/>
      <c r="E103" s="69" t="n"/>
      <c r="F103" s="73" t="n"/>
      <c r="G103" s="71" t="n"/>
      <c r="H103" s="72" t="n"/>
      <c r="I103" s="74" t="n"/>
      <c r="J103" s="74" t="n"/>
      <c r="K103" s="97" t="n"/>
      <c r="L103" s="66" t="n"/>
    </row>
    <row r="104" ht="17" customHeight="1" s="91">
      <c r="A104" s="64" t="n"/>
      <c r="B104" s="65" t="n"/>
      <c r="C104" s="65" t="n"/>
      <c r="D104" s="66" t="n"/>
      <c r="E104" s="69" t="n"/>
      <c r="F104" s="73" t="n"/>
      <c r="G104" s="71" t="n"/>
      <c r="H104" s="72" t="n"/>
      <c r="I104" s="74" t="n"/>
      <c r="J104" s="74" t="n"/>
      <c r="K104" s="97" t="n"/>
      <c r="L104" s="66" t="n"/>
    </row>
    <row r="105" ht="17" customHeight="1" s="91">
      <c r="A105" s="64" t="n"/>
      <c r="B105" s="65" t="n"/>
      <c r="C105" s="65" t="n"/>
      <c r="D105" s="66" t="n"/>
      <c r="E105" s="69" t="n"/>
      <c r="F105" s="73" t="n"/>
      <c r="G105" s="71" t="n"/>
      <c r="H105" s="72" t="n"/>
      <c r="I105" s="74" t="n"/>
      <c r="J105" s="74" t="n"/>
      <c r="K105" s="97" t="n"/>
      <c r="L105" s="66" t="n"/>
    </row>
    <row r="106" ht="17" customHeight="1" s="91">
      <c r="A106" s="64" t="n"/>
      <c r="B106" s="65" t="n"/>
      <c r="C106" s="65" t="n"/>
      <c r="D106" s="66" t="n"/>
      <c r="E106" s="69" t="n"/>
      <c r="F106" s="73" t="n"/>
      <c r="G106" s="71" t="n"/>
      <c r="H106" s="72" t="n"/>
      <c r="I106" s="74" t="n"/>
      <c r="J106" s="74" t="n"/>
      <c r="K106" s="97" t="n"/>
      <c r="L106" s="66" t="n"/>
    </row>
    <row r="107" ht="17" customHeight="1" s="91">
      <c r="A107" s="64" t="n"/>
      <c r="B107" s="65" t="n"/>
      <c r="C107" s="65" t="n"/>
      <c r="D107" s="66" t="n"/>
      <c r="E107" s="69" t="n"/>
      <c r="F107" s="73" t="n"/>
      <c r="G107" s="71" t="n"/>
      <c r="H107" s="72" t="n"/>
      <c r="I107" s="74" t="n"/>
      <c r="J107" s="74" t="n"/>
      <c r="K107" s="97" t="n"/>
      <c r="L107" s="66" t="n"/>
    </row>
    <row r="108" ht="17" customHeight="1" s="91">
      <c r="A108" s="64" t="n"/>
      <c r="B108" s="65" t="n"/>
      <c r="C108" s="65" t="n"/>
      <c r="D108" s="66" t="n"/>
      <c r="E108" s="69" t="n"/>
      <c r="F108" s="73" t="n"/>
      <c r="G108" s="71" t="n"/>
      <c r="H108" s="72" t="n"/>
      <c r="I108" s="74" t="n"/>
      <c r="J108" s="74" t="n"/>
      <c r="K108" s="97" t="n"/>
      <c r="L108" s="66" t="n"/>
    </row>
    <row r="109" ht="17" customHeight="1" s="91">
      <c r="A109" s="64" t="n"/>
      <c r="B109" s="65" t="n"/>
      <c r="C109" s="65" t="n"/>
      <c r="D109" s="66" t="n"/>
      <c r="E109" s="69" t="n"/>
      <c r="F109" s="73" t="n"/>
      <c r="G109" s="71" t="n"/>
      <c r="H109" s="72" t="n"/>
      <c r="I109" s="74" t="n"/>
      <c r="J109" s="74" t="n"/>
      <c r="K109" s="97" t="n"/>
      <c r="L109" s="66" t="n"/>
    </row>
    <row r="110" ht="17" customHeight="1" s="91">
      <c r="A110" s="64" t="n"/>
      <c r="B110" s="65" t="n"/>
      <c r="C110" s="65" t="n"/>
      <c r="D110" s="66" t="n"/>
      <c r="E110" s="69" t="n"/>
      <c r="F110" s="73" t="n"/>
      <c r="G110" s="71" t="n"/>
      <c r="H110" s="72" t="n"/>
      <c r="I110" s="74" t="n"/>
      <c r="J110" s="74" t="n"/>
      <c r="K110" s="97" t="n"/>
      <c r="L110" s="66" t="n"/>
    </row>
    <row r="111" ht="17" customHeight="1" s="91">
      <c r="A111" s="64" t="n"/>
      <c r="B111" s="65" t="n"/>
      <c r="C111" s="65" t="n"/>
      <c r="D111" s="66" t="n"/>
      <c r="E111" s="69" t="n"/>
      <c r="F111" s="73" t="n"/>
      <c r="G111" s="71" t="n"/>
      <c r="H111" s="72" t="n"/>
      <c r="I111" s="74" t="n"/>
      <c r="J111" s="74" t="n"/>
      <c r="K111" s="97" t="n"/>
      <c r="L111" s="66" t="n"/>
    </row>
    <row r="112" ht="17" customHeight="1" s="91">
      <c r="A112" s="64" t="n"/>
      <c r="B112" s="65" t="n"/>
      <c r="C112" s="65" t="n"/>
      <c r="D112" s="66" t="n"/>
      <c r="E112" s="69" t="n"/>
      <c r="F112" s="73" t="n"/>
      <c r="G112" s="71" t="n"/>
      <c r="H112" s="72" t="n"/>
      <c r="I112" s="74" t="n"/>
      <c r="J112" s="74" t="n"/>
      <c r="K112" s="97" t="n"/>
      <c r="L112" s="66" t="n"/>
    </row>
    <row r="113" ht="17" customHeight="1" s="91">
      <c r="A113" s="64" t="n"/>
      <c r="B113" s="65" t="n"/>
      <c r="C113" s="65" t="n"/>
      <c r="D113" s="66" t="n"/>
      <c r="E113" s="69" t="n"/>
      <c r="F113" s="73" t="n"/>
      <c r="G113" s="71" t="n"/>
      <c r="H113" s="72" t="n"/>
      <c r="I113" s="74" t="n"/>
      <c r="J113" s="74" t="n"/>
      <c r="K113" s="97" t="n"/>
      <c r="L113" s="66" t="n"/>
    </row>
    <row r="114" ht="17" customHeight="1" s="91">
      <c r="A114" s="64" t="n"/>
      <c r="B114" s="65" t="n"/>
      <c r="C114" s="65" t="n"/>
      <c r="D114" s="66" t="n"/>
      <c r="E114" s="69" t="n"/>
      <c r="F114" s="73" t="n"/>
      <c r="G114" s="71" t="n"/>
      <c r="H114" s="72" t="n"/>
      <c r="I114" s="74" t="n"/>
      <c r="J114" s="74" t="n"/>
      <c r="K114" s="97" t="n"/>
      <c r="L114" s="66" t="n"/>
    </row>
    <row r="115" ht="17" customHeight="1" s="91">
      <c r="A115" s="64" t="n"/>
      <c r="B115" s="65" t="n"/>
      <c r="C115" s="65" t="n"/>
      <c r="D115" s="66" t="n"/>
      <c r="E115" s="69" t="n"/>
      <c r="F115" s="73" t="n"/>
      <c r="G115" s="71" t="n"/>
      <c r="H115" s="72" t="n"/>
      <c r="I115" s="74" t="n"/>
      <c r="J115" s="74" t="n"/>
      <c r="K115" s="97" t="n"/>
      <c r="L115" s="66" t="n"/>
    </row>
    <row r="116" ht="17" customHeight="1" s="91">
      <c r="A116" s="64" t="n"/>
      <c r="B116" s="65" t="n"/>
      <c r="C116" s="65" t="n"/>
      <c r="D116" s="66" t="n"/>
      <c r="E116" s="69" t="n"/>
      <c r="F116" s="73" t="n"/>
      <c r="G116" s="71" t="n"/>
      <c r="H116" s="72" t="n"/>
      <c r="I116" s="74" t="n"/>
      <c r="J116" s="74" t="n"/>
      <c r="K116" s="97" t="n"/>
      <c r="L116" s="66" t="n"/>
    </row>
    <row r="117" ht="17" customHeight="1" s="91">
      <c r="A117" s="64" t="n"/>
      <c r="B117" s="65" t="n"/>
      <c r="C117" s="65" t="n"/>
      <c r="D117" s="66" t="n"/>
      <c r="E117" s="69" t="n"/>
      <c r="F117" s="73" t="n"/>
      <c r="G117" s="71" t="n"/>
      <c r="H117" s="72" t="n"/>
      <c r="I117" s="74" t="n"/>
      <c r="J117" s="74" t="n"/>
      <c r="K117" s="97" t="n"/>
      <c r="L117" s="66" t="n"/>
    </row>
    <row r="118" ht="17" customHeight="1" s="91">
      <c r="A118" s="64" t="n"/>
      <c r="B118" s="65" t="n"/>
      <c r="C118" s="65" t="n"/>
      <c r="D118" s="66" t="n"/>
      <c r="E118" s="69" t="n"/>
      <c r="F118" s="73" t="n"/>
      <c r="G118" s="71" t="n"/>
      <c r="H118" s="72" t="n"/>
      <c r="I118" s="74" t="n"/>
      <c r="J118" s="74" t="n"/>
      <c r="K118" s="97" t="n"/>
      <c r="L118" s="66" t="n"/>
    </row>
    <row r="119" ht="17" customHeight="1" s="91">
      <c r="A119" s="64" t="n"/>
      <c r="B119" s="65" t="n"/>
      <c r="C119" s="65" t="n"/>
      <c r="D119" s="66" t="n"/>
      <c r="E119" s="69" t="n"/>
      <c r="F119" s="73" t="n"/>
      <c r="G119" s="71" t="n"/>
      <c r="H119" s="72" t="n"/>
      <c r="I119" s="74" t="n"/>
      <c r="J119" s="74" t="n"/>
      <c r="K119" s="97" t="n"/>
      <c r="L119" s="66" t="n"/>
    </row>
    <row r="120" ht="17" customHeight="1" s="91">
      <c r="A120" s="64" t="n"/>
      <c r="B120" s="65" t="n"/>
      <c r="C120" s="65" t="n"/>
      <c r="D120" s="66" t="n"/>
      <c r="E120" s="69" t="n"/>
      <c r="F120" s="73" t="n"/>
      <c r="G120" s="71" t="n"/>
      <c r="H120" s="72" t="n"/>
      <c r="I120" s="74" t="n"/>
      <c r="J120" s="74" t="n"/>
      <c r="K120" s="97" t="n"/>
      <c r="L120" s="66" t="n"/>
    </row>
    <row r="121" ht="17" customHeight="1" s="91">
      <c r="A121" s="64" t="n"/>
      <c r="B121" s="65" t="n"/>
      <c r="C121" s="65" t="n"/>
      <c r="D121" s="66" t="n"/>
      <c r="E121" s="69" t="n"/>
      <c r="F121" s="73" t="n"/>
      <c r="G121" s="71" t="n"/>
      <c r="H121" s="72" t="n"/>
      <c r="I121" s="74" t="n"/>
      <c r="J121" s="74" t="n"/>
      <c r="K121" s="97" t="n"/>
      <c r="L121" s="66" t="n"/>
    </row>
    <row r="122" ht="17" customHeight="1" s="91">
      <c r="A122" s="64" t="n"/>
      <c r="B122" s="65" t="n"/>
      <c r="C122" s="65" t="n"/>
      <c r="D122" s="66" t="n"/>
      <c r="E122" s="69" t="n"/>
      <c r="F122" s="73" t="n"/>
      <c r="G122" s="71" t="n"/>
      <c r="H122" s="72" t="n"/>
      <c r="I122" s="74" t="n"/>
      <c r="J122" s="74" t="n"/>
      <c r="K122" s="97" t="n"/>
      <c r="L122" s="66" t="n"/>
    </row>
    <row r="123" ht="17" customHeight="1" s="91">
      <c r="A123" s="64" t="n"/>
      <c r="B123" s="65" t="n"/>
      <c r="C123" s="65" t="n"/>
      <c r="D123" s="66" t="n"/>
      <c r="E123" s="69" t="n"/>
      <c r="F123" s="73" t="n"/>
      <c r="G123" s="71" t="n"/>
      <c r="H123" s="72" t="n"/>
      <c r="I123" s="74" t="n"/>
      <c r="J123" s="74" t="n"/>
      <c r="K123" s="97" t="n"/>
      <c r="L123" s="66" t="n"/>
    </row>
    <row r="124" ht="17" customHeight="1" s="91">
      <c r="A124" s="64" t="n"/>
      <c r="B124" s="65" t="n"/>
      <c r="C124" s="65" t="n"/>
      <c r="D124" s="66" t="n"/>
      <c r="E124" s="69" t="n"/>
      <c r="F124" s="73" t="n"/>
      <c r="G124" s="71" t="n"/>
      <c r="H124" s="72" t="n"/>
      <c r="I124" s="74" t="n"/>
      <c r="J124" s="74" t="n"/>
      <c r="K124" s="97" t="n"/>
      <c r="L124" s="66" t="n"/>
    </row>
    <row r="125" ht="17" customHeight="1" s="91">
      <c r="A125" s="64" t="n"/>
      <c r="B125" s="65" t="n"/>
      <c r="C125" s="65" t="n"/>
      <c r="D125" s="66" t="n"/>
      <c r="E125" s="69" t="n"/>
      <c r="F125" s="73" t="n"/>
      <c r="G125" s="71" t="n"/>
      <c r="H125" s="72" t="n"/>
      <c r="I125" s="74" t="n"/>
      <c r="J125" s="74" t="n"/>
      <c r="K125" s="97" t="n"/>
      <c r="L125" s="66" t="n"/>
    </row>
    <row r="126" ht="17" customHeight="1" s="91">
      <c r="A126" s="64" t="n"/>
      <c r="B126" s="65" t="n"/>
      <c r="C126" s="65" t="n"/>
      <c r="D126" s="66" t="n"/>
      <c r="E126" s="69" t="n"/>
      <c r="F126" s="73" t="n"/>
      <c r="G126" s="71" t="n"/>
      <c r="H126" s="72" t="n"/>
      <c r="I126" s="74" t="n"/>
      <c r="J126" s="74" t="n"/>
      <c r="K126" s="97" t="n"/>
      <c r="L126" s="66" t="n"/>
    </row>
    <row r="127" ht="17" customHeight="1" s="91">
      <c r="A127" s="64" t="n"/>
      <c r="B127" s="65" t="n"/>
      <c r="C127" s="65" t="n"/>
      <c r="D127" s="66" t="n"/>
      <c r="E127" s="69" t="n"/>
      <c r="F127" s="73" t="n"/>
      <c r="G127" s="71" t="n"/>
      <c r="H127" s="72" t="n"/>
      <c r="I127" s="74" t="n"/>
      <c r="J127" s="74" t="n"/>
      <c r="K127" s="97" t="n"/>
      <c r="L127" s="66" t="n"/>
    </row>
    <row r="128" ht="17" customHeight="1" s="91">
      <c r="A128" s="64" t="n"/>
      <c r="B128" s="65" t="n"/>
      <c r="C128" s="65" t="n"/>
      <c r="D128" s="66" t="n"/>
      <c r="E128" s="69" t="n"/>
      <c r="F128" s="73" t="n"/>
      <c r="G128" s="71" t="n"/>
      <c r="H128" s="72" t="n"/>
      <c r="I128" s="74" t="n"/>
      <c r="J128" s="74" t="n"/>
      <c r="K128" s="97" t="n"/>
      <c r="L128" s="66" t="n"/>
    </row>
    <row r="129" ht="17" customHeight="1" s="91">
      <c r="A129" s="64" t="n"/>
      <c r="B129" s="65" t="n"/>
      <c r="C129" s="65" t="n"/>
      <c r="D129" s="66" t="n"/>
      <c r="E129" s="69" t="n"/>
      <c r="F129" s="73" t="n"/>
      <c r="G129" s="71" t="n"/>
      <c r="H129" s="72" t="n"/>
      <c r="I129" s="74" t="n"/>
      <c r="J129" s="74" t="n"/>
      <c r="K129" s="97" t="n"/>
      <c r="L129" s="66" t="n"/>
    </row>
    <row r="130" ht="17" customHeight="1" s="91">
      <c r="A130" s="64" t="n"/>
      <c r="B130" s="65" t="n"/>
      <c r="C130" s="65" t="n"/>
      <c r="D130" s="66" t="n"/>
      <c r="E130" s="69" t="n"/>
      <c r="F130" s="73" t="n"/>
      <c r="G130" s="71" t="n"/>
      <c r="H130" s="72" t="n"/>
      <c r="I130" s="74" t="n"/>
      <c r="J130" s="74" t="n"/>
      <c r="K130" s="97" t="n"/>
      <c r="L130" s="66" t="n"/>
    </row>
    <row r="131" ht="17" customHeight="1" s="91">
      <c r="A131" s="64" t="n"/>
      <c r="B131" s="65" t="n"/>
      <c r="C131" s="65" t="n"/>
      <c r="D131" s="66" t="n"/>
      <c r="E131" s="69" t="n"/>
      <c r="F131" s="73" t="n"/>
      <c r="G131" s="71" t="n"/>
      <c r="H131" s="72" t="n"/>
      <c r="I131" s="74" t="n"/>
      <c r="J131" s="74" t="n"/>
      <c r="K131" s="97" t="n"/>
      <c r="L131" s="66" t="n"/>
    </row>
    <row r="132" ht="17" customHeight="1" s="91">
      <c r="A132" s="64" t="n"/>
      <c r="B132" s="65" t="n"/>
      <c r="C132" s="65" t="n"/>
      <c r="D132" s="66" t="n"/>
      <c r="E132" s="69" t="n"/>
      <c r="F132" s="73" t="n"/>
      <c r="G132" s="71" t="n"/>
      <c r="H132" s="72" t="n"/>
      <c r="I132" s="74" t="n"/>
      <c r="J132" s="74" t="n"/>
      <c r="K132" s="97" t="n"/>
      <c r="L132" s="66" t="n"/>
    </row>
    <row r="133" ht="17" customHeight="1" s="91">
      <c r="A133" s="64" t="n"/>
      <c r="B133" s="65" t="n"/>
      <c r="C133" s="65" t="n"/>
      <c r="D133" s="66" t="n"/>
      <c r="E133" s="69" t="n"/>
      <c r="F133" s="73" t="n"/>
      <c r="G133" s="71" t="n"/>
      <c r="H133" s="72" t="n"/>
      <c r="I133" s="74" t="n"/>
      <c r="J133" s="74" t="n"/>
      <c r="K133" s="97" t="n"/>
      <c r="L133" s="66" t="n"/>
    </row>
    <row r="134" ht="17" customHeight="1" s="91">
      <c r="A134" s="64" t="n"/>
      <c r="B134" s="65" t="n"/>
      <c r="C134" s="65" t="n"/>
      <c r="D134" s="66" t="n"/>
      <c r="E134" s="69" t="n"/>
      <c r="F134" s="73" t="n"/>
      <c r="G134" s="71" t="n"/>
      <c r="H134" s="72" t="n"/>
      <c r="I134" s="74" t="n"/>
      <c r="J134" s="74" t="n"/>
      <c r="K134" s="97" t="n"/>
      <c r="L134" s="66" t="n"/>
    </row>
    <row r="135" ht="17" customHeight="1" s="91">
      <c r="A135" s="64" t="n"/>
      <c r="B135" s="65" t="n"/>
      <c r="C135" s="65" t="n"/>
      <c r="D135" s="66" t="n"/>
      <c r="E135" s="69" t="n"/>
      <c r="F135" s="73" t="n"/>
      <c r="G135" s="71" t="n"/>
      <c r="H135" s="72" t="n"/>
      <c r="I135" s="74" t="n"/>
      <c r="J135" s="74" t="n"/>
      <c r="K135" s="97" t="n"/>
      <c r="L135" s="66" t="n"/>
    </row>
    <row r="136" ht="17" customHeight="1" s="91">
      <c r="A136" s="64" t="n"/>
      <c r="B136" s="65" t="n"/>
      <c r="C136" s="65" t="n"/>
      <c r="D136" s="66" t="n"/>
      <c r="E136" s="69" t="n"/>
      <c r="F136" s="73" t="n"/>
      <c r="G136" s="71" t="n"/>
      <c r="H136" s="72" t="n"/>
      <c r="I136" s="74" t="n"/>
      <c r="J136" s="74" t="n"/>
      <c r="K136" s="97" t="n"/>
      <c r="L136" s="66" t="n"/>
    </row>
    <row r="137" ht="17" customHeight="1" s="91">
      <c r="A137" s="64" t="n"/>
      <c r="B137" s="65" t="n"/>
      <c r="C137" s="65" t="n"/>
      <c r="D137" s="66" t="n"/>
      <c r="E137" s="69" t="n"/>
      <c r="F137" s="73" t="n"/>
      <c r="G137" s="71" t="n"/>
      <c r="H137" s="72" t="n"/>
      <c r="I137" s="74" t="n"/>
      <c r="J137" s="74" t="n"/>
      <c r="K137" s="97" t="n"/>
      <c r="L137" s="66" t="n"/>
    </row>
    <row r="138" ht="17" customHeight="1" s="91">
      <c r="A138" s="64" t="n"/>
      <c r="B138" s="65" t="n"/>
      <c r="C138" s="65" t="n"/>
      <c r="D138" s="66" t="n"/>
      <c r="E138" s="69" t="n"/>
      <c r="F138" s="73" t="n"/>
      <c r="G138" s="71" t="n"/>
      <c r="H138" s="72" t="n"/>
      <c r="I138" s="74" t="n"/>
      <c r="J138" s="74" t="n"/>
      <c r="K138" s="97" t="n"/>
      <c r="L138" s="66" t="n"/>
    </row>
    <row r="139" ht="19.95" customFormat="1" customHeight="1" s="51">
      <c r="A139" s="76" t="n"/>
      <c r="B139" s="77" t="n"/>
      <c r="C139" s="77" t="n"/>
      <c r="D139" s="77" t="n"/>
      <c r="E139" s="77" t="n"/>
      <c r="F139" s="77" t="n"/>
      <c r="G139" s="78" t="n"/>
      <c r="H139" s="98" t="n"/>
      <c r="I139" s="62" t="n"/>
      <c r="J139" s="93" t="n"/>
      <c r="K139" s="98" t="n"/>
      <c r="L139" s="80" t="n"/>
    </row>
  </sheetData>
  <autoFilter ref="A7:L139"/>
  <mergeCells count="9">
    <mergeCell ref="A4:B4"/>
    <mergeCell ref="D5:L5"/>
    <mergeCell ref="I139:J139"/>
    <mergeCell ref="A1:L1"/>
    <mergeCell ref="D4:L4"/>
    <mergeCell ref="A5:B5"/>
    <mergeCell ref="A6:L6"/>
    <mergeCell ref="D3:L3"/>
    <mergeCell ref="A3:B3"/>
  </mergeCells>
  <dataValidations count="4">
    <dataValidation sqref="C3" showDropDown="0" showInputMessage="1" showErrorMessage="1" allowBlank="1" type="list">
      <formula1>"软件开发计价模型"</formula1>
    </dataValidation>
    <dataValidation sqref="G9:G138" showDropDown="0" showInputMessage="1" showErrorMessage="1" allowBlank="1" type="list">
      <formula1>"ILF,EIF,EI,EO,EQ"</formula1>
    </dataValidation>
    <dataValidation sqref="I9:I138" showDropDown="0" showInputMessage="1" showErrorMessage="1" allowBlank="1" type="list">
      <formula1>"高,中,低"</formula1>
    </dataValidation>
    <dataValidation sqref="J9:J138" showDropDown="0" showInputMessage="1" showErrorMessage="1" allowBlank="1" type="list">
      <formula1>"新增,修改,删除"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/>
  </sheetPr>
  <dimension ref="A1:I97"/>
  <sheetViews>
    <sheetView topLeftCell="A8" workbookViewId="0">
      <selection activeCell="C65" sqref="C65"/>
    </sheetView>
  </sheetViews>
  <sheetFormatPr baseColWidth="8" defaultColWidth="9" defaultRowHeight="14.4"/>
  <cols>
    <col width="5.22115384615385" customWidth="1" style="24" min="1" max="1"/>
    <col width="11.7788461538462" customWidth="1" style="24" min="2" max="2"/>
    <col width="84.44230769230769" customWidth="1" style="25" min="3" max="3"/>
    <col width="11.4423076923077" customWidth="1" style="23" min="4" max="4"/>
    <col width="32.5576923076923" customWidth="1" style="26" min="5" max="5"/>
    <col width="6.44230769230769" customWidth="1" style="25" min="6" max="6"/>
    <col width="10.6634615384615" customWidth="1" style="25" min="7" max="7"/>
    <col width="9" customWidth="1" style="25" min="8" max="16384"/>
  </cols>
  <sheetData>
    <row r="1" ht="40.05" customFormat="1" customHeight="1" s="20">
      <c r="A1" s="27" t="inlineStr">
        <is>
          <t>2.调整因子列表</t>
        </is>
      </c>
      <c r="B1" s="99" t="n"/>
      <c r="C1" s="99" t="n"/>
      <c r="D1" s="99" t="n"/>
      <c r="E1" s="49" t="n"/>
      <c r="F1" s="49" t="n"/>
      <c r="G1" s="49" t="n"/>
      <c r="H1" s="49" t="n"/>
      <c r="I1" s="49" t="n"/>
    </row>
    <row r="2">
      <c r="A2" s="28" t="inlineStr">
        <is>
          <t>规模计数时机</t>
        </is>
      </c>
      <c r="B2" s="92" t="n"/>
      <c r="C2" s="29" t="inlineStr">
        <is>
          <t>估算中期</t>
        </is>
      </c>
      <c r="D2" s="100">
        <f>IF('3. 调整因子'!C2='3. 调整因子'!B36,'3. 调整因子'!D36,IF('3. 调整因子'!C2='3. 调整因子'!B37,'3. 调整因子'!D37,IF('3. 调整因子'!C2='3. 调整因子'!B38,'3. 调整因子'!D38,IF('3. 调整因子'!C2='3. 调整因子'!B39,'3. 调整因子'!D39,0))))</f>
        <v/>
      </c>
      <c r="E2" s="25" t="n"/>
    </row>
    <row r="3">
      <c r="A3" s="28" t="inlineStr">
        <is>
          <t>应用类型</t>
        </is>
      </c>
      <c r="B3" s="92" t="n"/>
      <c r="C3" s="29" t="inlineStr">
        <is>
          <t>业务处理</t>
        </is>
      </c>
      <c r="D3" s="101">
        <f>IF(C3=B12,D12,IF(C3=B13,D13,IF(C3=B14,D14,IF(C3=B15,D15,IF(C3=B16,D16,IF(C3=B17,D17,IF(C3=B18,D18,IF(C3=B19,D19,0))))))))</f>
        <v/>
      </c>
      <c r="E3" s="25" t="n"/>
    </row>
    <row r="4" ht="15" customHeight="1" s="91">
      <c r="A4" s="28" t="inlineStr">
        <is>
          <t>质量特性</t>
        </is>
      </c>
      <c r="B4" s="32" t="inlineStr">
        <is>
          <t>分布式处理</t>
        </is>
      </c>
      <c r="C4" s="33" t="inlineStr">
        <is>
          <t>没有明示对分布式处理的需求事项</t>
        </is>
      </c>
      <c r="D4" s="102">
        <f>IF(C4=C22,D22,IF(C4=C23,D23,IF(C4=C24,D24,-10)))</f>
        <v/>
      </c>
      <c r="E4" s="50" t="n"/>
    </row>
    <row r="5" ht="15" customHeight="1" s="91">
      <c r="A5" s="103" t="n"/>
      <c r="B5" s="32" t="inlineStr">
        <is>
          <t>性能</t>
        </is>
      </c>
      <c r="C5" s="33" t="inlineStr">
        <is>
          <t>没有明示对性能的特别需求事项或活动，因此提供基本性能</t>
        </is>
      </c>
      <c r="D5" s="102">
        <f>IF(C5=C25,D25,IF(C5=C26,D26,IF(C5=C27,D27,-10)))</f>
        <v/>
      </c>
      <c r="E5" s="50" t="n"/>
    </row>
    <row r="6" ht="15" customHeight="1" s="91">
      <c r="A6" s="103" t="n"/>
      <c r="B6" s="32" t="inlineStr">
        <is>
          <t>可靠性</t>
        </is>
      </c>
      <c r="C6" s="33" t="inlineStr">
        <is>
          <t>没有明示对可靠性的特别需求事项或活动，因此提供基本的可靠性</t>
        </is>
      </c>
      <c r="D6" s="102">
        <f>IF(C6=C28,D28,IF(C6=C29,D29,IF(C6=C30,D30,-10)))</f>
        <v/>
      </c>
      <c r="E6" s="50" t="n"/>
    </row>
    <row r="7" ht="15" customHeight="1" s="91">
      <c r="A7" s="104" t="n"/>
      <c r="B7" s="32" t="inlineStr">
        <is>
          <t>多重站点</t>
        </is>
      </c>
      <c r="C7" s="33" t="inlineStr">
        <is>
          <t>在相同用途的硬件或软件环境下运行</t>
        </is>
      </c>
      <c r="D7" s="102">
        <f>IF(C7=C31,D31,IF(C7=C32,D32,IF(C7=C33,D33,-10)))</f>
        <v/>
      </c>
      <c r="E7" s="50" t="n"/>
    </row>
    <row r="8">
      <c r="A8" s="28" t="inlineStr">
        <is>
          <t>开发语言</t>
        </is>
      </c>
      <c r="B8" s="92" t="n"/>
      <c r="C8" s="35" t="inlineStr">
        <is>
          <t>JAVA、C++、C#及其他同级别语言/平台</t>
        </is>
      </c>
      <c r="D8" s="101">
        <f>IF(C8=B43,D43,IF(C8=B44,D44,IF(C8=B45,D45,0)))</f>
        <v/>
      </c>
      <c r="E8" s="25" t="n"/>
    </row>
    <row r="9" ht="15" customHeight="1" s="91">
      <c r="A9" s="28" t="inlineStr">
        <is>
          <t>开发团队背景</t>
        </is>
      </c>
      <c r="B9" s="92" t="n"/>
      <c r="C9" s="33" t="inlineStr">
        <is>
          <t>为本行业（政府）开发过类似的软件</t>
        </is>
      </c>
      <c r="D9" s="101">
        <f>IF(C9=B48,D48,IF(C9=B49,D49,IF(C9=B50,D50,0)))</f>
        <v/>
      </c>
      <c r="E9" s="25" t="n"/>
    </row>
    <row r="10">
      <c r="E10" s="25" t="n"/>
    </row>
    <row r="11" ht="15" customHeight="1" s="91">
      <c r="B11" s="36" t="inlineStr">
        <is>
          <t>应用类型</t>
        </is>
      </c>
      <c r="C11" s="36" t="inlineStr">
        <is>
          <t>描述</t>
        </is>
      </c>
      <c r="D11" s="36" t="inlineStr">
        <is>
          <t>调整因子</t>
        </is>
      </c>
      <c r="E11" s="25" t="n"/>
    </row>
    <row r="12" ht="15" customHeight="1" s="91">
      <c r="B12" s="37" t="inlineStr">
        <is>
          <t>业务处理</t>
        </is>
      </c>
      <c r="C12" s="38" t="inlineStr">
        <is>
          <t>办公自动化系统：人事、会计、工资、销售等经营管理及业务处理用软件等</t>
        </is>
      </c>
      <c r="D12" s="105" t="n">
        <v>1</v>
      </c>
      <c r="E12" s="25" t="n"/>
    </row>
    <row r="13" ht="15" customHeight="1" s="91">
      <c r="B13" s="37" t="inlineStr">
        <is>
          <t>应用集成</t>
        </is>
      </c>
      <c r="C13" s="38" t="inlineStr">
        <is>
          <t>企业服务总线、应用集成等</t>
        </is>
      </c>
      <c r="D13" s="105" t="n">
        <v>1.2</v>
      </c>
      <c r="E13" s="25" t="n"/>
    </row>
    <row r="14" ht="15" customHeight="1" s="91">
      <c r="B14" s="37" t="inlineStr">
        <is>
          <t>科技</t>
        </is>
      </c>
      <c r="C14" s="38" t="inlineStr">
        <is>
          <t>科学计算、仿真、基于复杂算法的统计分析等</t>
        </is>
      </c>
      <c r="D14" s="105" t="n">
        <v>1.2</v>
      </c>
      <c r="E14" s="25" t="n"/>
    </row>
    <row r="15" ht="15" customHeight="1" s="91">
      <c r="B15" s="37" t="inlineStr">
        <is>
          <t>多媒体</t>
        </is>
      </c>
      <c r="C15" s="38" t="inlineStr">
        <is>
          <t>图形、影像、声音等多媒体应用领域：地理信息系统：教育和娱乐等</t>
        </is>
      </c>
      <c r="D15" s="105" t="n">
        <v>1.5</v>
      </c>
      <c r="E15" s="25" t="n"/>
    </row>
    <row r="16" ht="15" customHeight="1" s="91">
      <c r="B16" s="37" t="inlineStr">
        <is>
          <t>智能信息</t>
        </is>
      </c>
      <c r="C16" s="38" t="inlineStr">
        <is>
          <t>自然语言处理、大模型、计算机视觉、智能决策、专家系统等</t>
        </is>
      </c>
      <c r="D16" s="105" t="n">
        <v>1.7</v>
      </c>
      <c r="E16" s="25" t="n"/>
    </row>
    <row r="17" ht="29" customHeight="1" s="91">
      <c r="B17" s="37" t="inlineStr">
        <is>
          <t>基础软件/支撑软件</t>
        </is>
      </c>
      <c r="C17" s="38" t="inlineStr">
        <is>
          <t>操作系统、数据库系统、集成开发环境、自动化开发/设计工具等</t>
        </is>
      </c>
      <c r="D17" s="105" t="n">
        <v>1.7</v>
      </c>
      <c r="E17" s="25" t="n"/>
    </row>
    <row r="18" ht="15" customHeight="1" s="91">
      <c r="B18" s="37" t="inlineStr">
        <is>
          <t>通信控制</t>
        </is>
      </c>
      <c r="C18" s="38" t="inlineStr">
        <is>
          <t>通信协议、仿真、交换机软件、全球定位系统等</t>
        </is>
      </c>
      <c r="D18" s="105" t="n">
        <v>1.9</v>
      </c>
      <c r="E18" s="25" t="n"/>
    </row>
    <row r="19" ht="15" customHeight="1" s="91">
      <c r="B19" s="37" t="inlineStr">
        <is>
          <t>流程控制</t>
        </is>
      </c>
      <c r="C19" s="38" t="inlineStr">
        <is>
          <t>实时系统控制、机器人控制、嵌入式软件等</t>
        </is>
      </c>
      <c r="D19" s="105" t="n">
        <v>2</v>
      </c>
      <c r="E19" s="25" t="n"/>
    </row>
    <row r="20">
      <c r="E20" s="25" t="n"/>
    </row>
    <row r="21" ht="15" customHeight="1" s="91">
      <c r="B21" s="36" t="inlineStr">
        <is>
          <t>调整因子</t>
        </is>
      </c>
      <c r="C21" s="36" t="inlineStr">
        <is>
          <t>判断标准</t>
        </is>
      </c>
      <c r="D21" s="36" t="inlineStr">
        <is>
          <t>调整因子</t>
        </is>
      </c>
      <c r="E21" s="25" t="n"/>
    </row>
    <row r="22" ht="15" customHeight="1" s="91">
      <c r="B22" s="37" t="inlineStr">
        <is>
          <t>分布式处理</t>
        </is>
      </c>
      <c r="C22" s="38" t="inlineStr">
        <is>
          <t>没有明示对分布式处理的需求事项</t>
        </is>
      </c>
      <c r="D22" s="37" t="n">
        <v>-1</v>
      </c>
      <c r="E22" s="25" t="n"/>
    </row>
    <row r="23" ht="15" customHeight="1" s="91">
      <c r="B23" s="103" t="n"/>
      <c r="C23" s="38" t="inlineStr">
        <is>
          <t>通过网络进行客户端/服务器及网络基础应用分布处理和传输</t>
        </is>
      </c>
      <c r="D23" s="37" t="n">
        <v>0</v>
      </c>
      <c r="E23" s="25" t="n"/>
    </row>
    <row r="24" ht="15" customHeight="1" s="91">
      <c r="B24" s="104" t="n"/>
      <c r="C24" s="38" t="inlineStr">
        <is>
          <t>在多个服务器及处理器上同时相互执行计算机系统中的处理功能</t>
        </is>
      </c>
      <c r="D24" s="37" t="n">
        <v>1</v>
      </c>
      <c r="E24" s="25" t="n"/>
    </row>
    <row r="25" ht="15" customHeight="1" s="91">
      <c r="B25" s="37" t="inlineStr">
        <is>
          <t>性能</t>
        </is>
      </c>
      <c r="C25" s="38" t="inlineStr">
        <is>
          <t>没有明示对性能的特别需求事项或活动，因此提供基本性能</t>
        </is>
      </c>
      <c r="D25" s="37" t="n">
        <v>-1</v>
      </c>
      <c r="E25" s="25" t="n"/>
    </row>
    <row r="26" ht="15" customHeight="1" s="91">
      <c r="B26" s="103" t="n"/>
      <c r="C26" s="38" t="inlineStr">
        <is>
          <t>应答时间或处理率对高峰时间或所有业务时间来说都很重要，对连动系统结束处理时间的限制</t>
        </is>
      </c>
      <c r="D26" s="37" t="n">
        <v>0</v>
      </c>
      <c r="E26" s="25" t="n"/>
    </row>
    <row r="27" ht="15" customHeight="1" s="91">
      <c r="B27" s="104" t="n"/>
      <c r="C27" s="38" t="inlineStr">
        <is>
          <t>为满足性能需求事项，要求设计阶段开始进行性能分析，或在设计、开发阶段使用分析工具</t>
        </is>
      </c>
      <c r="D27" s="37" t="n">
        <v>1</v>
      </c>
      <c r="E27" s="25" t="n"/>
    </row>
    <row r="28" ht="15" customHeight="1" s="91">
      <c r="B28" s="37" t="inlineStr">
        <is>
          <t>可靠性</t>
        </is>
      </c>
      <c r="C28" s="38" t="inlineStr">
        <is>
          <t>没有明示对可靠性的特别需求事项或活动，因此提供基本的可靠性</t>
        </is>
      </c>
      <c r="D28" s="37" t="n">
        <v>-1</v>
      </c>
      <c r="E28" s="25" t="n"/>
    </row>
    <row r="29" ht="15" customHeight="1" s="91">
      <c r="B29" s="103" t="n"/>
      <c r="C29" s="38" t="inlineStr">
        <is>
          <t>发生故障时可轻易修复，带来一定不便或经济损失</t>
        </is>
      </c>
      <c r="D29" s="37" t="n">
        <v>0</v>
      </c>
      <c r="E29" s="25" t="n"/>
    </row>
    <row r="30" ht="15" customHeight="1" s="91">
      <c r="B30" s="104" t="n"/>
      <c r="C30" s="38" t="inlineStr">
        <is>
          <t>发生故障时很难复，发生重大经济损失或有生命危害</t>
        </is>
      </c>
      <c r="D30" s="37" t="n">
        <v>1</v>
      </c>
      <c r="E30" s="25" t="n"/>
    </row>
    <row r="31" ht="15" customHeight="1" s="91">
      <c r="B31" s="37" t="inlineStr">
        <is>
          <t>多重站点</t>
        </is>
      </c>
      <c r="C31" s="38" t="inlineStr">
        <is>
          <t>在相同用途的硬件或软件环境下运行</t>
        </is>
      </c>
      <c r="D31" s="37" t="n">
        <v>-1</v>
      </c>
      <c r="E31" s="25" t="n"/>
    </row>
    <row r="32" ht="15" customHeight="1" s="91">
      <c r="B32" s="103" t="n"/>
      <c r="C32" s="38" t="inlineStr">
        <is>
          <t>在用途类似的硬件或软件环境下运行</t>
        </is>
      </c>
      <c r="D32" s="37" t="n">
        <v>0</v>
      </c>
      <c r="E32" s="25" t="n"/>
    </row>
    <row r="33" ht="15" customHeight="1" s="91">
      <c r="B33" s="104" t="n"/>
      <c r="C33" s="38" t="inlineStr">
        <is>
          <t>在不同用途的硬件或软件环境下运行</t>
        </is>
      </c>
      <c r="D33" s="37" t="n">
        <v>1</v>
      </c>
      <c r="E33" s="25" t="n"/>
    </row>
    <row r="34">
      <c r="E34" s="25" t="n"/>
    </row>
    <row r="35">
      <c r="B35" s="40" t="inlineStr">
        <is>
          <t>规模变更调整因子(CF)</t>
        </is>
      </c>
      <c r="C35" s="106" t="n"/>
      <c r="D35" s="92" t="n"/>
      <c r="E35" s="25" t="n"/>
    </row>
    <row r="36">
      <c r="B36" s="41" t="inlineStr">
        <is>
          <t>估算早期</t>
        </is>
      </c>
      <c r="C36" s="42" t="inlineStr">
        <is>
          <t>概算、预算阶段</t>
        </is>
      </c>
      <c r="D36" s="107" t="n">
        <v>1.39</v>
      </c>
      <c r="E36" s="25" t="n"/>
    </row>
    <row r="37">
      <c r="B37" s="41" t="inlineStr">
        <is>
          <t>估算中期</t>
        </is>
      </c>
      <c r="C37" s="42" t="inlineStr">
        <is>
          <t>投标、项目计划阶段</t>
        </is>
      </c>
      <c r="D37" s="107" t="n">
        <v>1.21</v>
      </c>
      <c r="E37" s="25" t="n"/>
    </row>
    <row r="38">
      <c r="B38" s="41" t="inlineStr">
        <is>
          <t>估算晚期</t>
        </is>
      </c>
      <c r="C38" s="42" t="inlineStr">
        <is>
          <t>需求分析阶段</t>
        </is>
      </c>
      <c r="D38" s="107" t="n">
        <v>1.1</v>
      </c>
      <c r="E38" s="25" t="n"/>
    </row>
    <row r="39">
      <c r="B39" s="41" t="inlineStr">
        <is>
          <t>项目完成</t>
        </is>
      </c>
      <c r="C39" s="42" t="inlineStr">
        <is>
          <t>项目交付后及运维阶段</t>
        </is>
      </c>
      <c r="D39" s="107" t="n">
        <v>1</v>
      </c>
      <c r="E39" s="25" t="n"/>
    </row>
    <row r="40">
      <c r="B40" s="44" t="n"/>
      <c r="C40" s="44" t="n"/>
      <c r="D40" s="108" t="n"/>
      <c r="E40" s="25" t="n"/>
    </row>
    <row r="41">
      <c r="E41" s="25" t="n"/>
    </row>
    <row r="42" ht="15" customHeight="1" s="91">
      <c r="B42" s="28" t="inlineStr">
        <is>
          <t>开发语言</t>
        </is>
      </c>
      <c r="C42" s="92" t="n"/>
      <c r="D42" s="28" t="inlineStr">
        <is>
          <t>调整因子</t>
        </is>
      </c>
      <c r="E42" s="25" t="n"/>
    </row>
    <row r="43">
      <c r="B43" s="37" t="inlineStr">
        <is>
          <t>C及其他同级别语言/平台</t>
        </is>
      </c>
      <c r="C43" s="92" t="n"/>
      <c r="D43" s="105" t="n">
        <v>1.2</v>
      </c>
      <c r="E43" s="25" t="n"/>
    </row>
    <row r="44">
      <c r="B44" s="37" t="inlineStr">
        <is>
          <t>JAVA、C++、C#及其他同级别语言/平台</t>
        </is>
      </c>
      <c r="C44" s="92" t="n"/>
      <c r="D44" s="105" t="n">
        <v>1</v>
      </c>
      <c r="E44" s="25" t="n"/>
    </row>
    <row r="45">
      <c r="B45" s="37" t="inlineStr">
        <is>
          <t>PowerBuilder、ASP及其他同级别语言/平台</t>
        </is>
      </c>
      <c r="C45" s="92" t="n"/>
      <c r="D45" s="105" t="n">
        <v>0.8</v>
      </c>
      <c r="E45" s="25" t="n"/>
    </row>
    <row r="46">
      <c r="D46" s="25" t="n"/>
      <c r="E46" s="25" t="n"/>
    </row>
    <row r="47" ht="15" customHeight="1" s="91">
      <c r="B47" s="36" t="inlineStr">
        <is>
          <t>开发团队背景</t>
        </is>
      </c>
      <c r="C47" s="92" t="n"/>
      <c r="D47" s="36" t="inlineStr">
        <is>
          <t>调整因子</t>
        </is>
      </c>
      <c r="E47" s="25" t="n"/>
    </row>
    <row r="48">
      <c r="B48" s="37" t="inlineStr">
        <is>
          <t>为本行业（政府）开发过类似的软件</t>
        </is>
      </c>
      <c r="C48" s="92" t="n"/>
      <c r="D48" s="105" t="n">
        <v>0.8</v>
      </c>
      <c r="E48" s="25" t="n"/>
    </row>
    <row r="49">
      <c r="B49" s="37" t="inlineStr">
        <is>
          <t>为其他行业开发过类似的软件，或为本行业（政府）开发过不同但相关的软件</t>
        </is>
      </c>
      <c r="C49" s="92" t="n"/>
      <c r="D49" s="105" t="n">
        <v>1</v>
      </c>
      <c r="E49" s="25" t="n"/>
    </row>
    <row r="50">
      <c r="B50" s="37" t="inlineStr">
        <is>
          <t>没有同类软件及本行业（政府）相关软件开发背景</t>
        </is>
      </c>
      <c r="C50" s="92" t="n"/>
      <c r="D50" s="105" t="n">
        <v>1.2</v>
      </c>
      <c r="E50" s="25" t="n"/>
    </row>
    <row r="51">
      <c r="E51" s="25" t="n"/>
    </row>
    <row r="52" ht="15" customHeight="1" s="91">
      <c r="B52" s="46" t="inlineStr">
        <is>
          <t>重用程度调整系数</t>
        </is>
      </c>
      <c r="C52" s="92" t="n"/>
      <c r="D52" s="46" t="inlineStr">
        <is>
          <t>取值</t>
        </is>
      </c>
      <c r="E52" s="25" t="n"/>
    </row>
    <row r="53">
      <c r="B53" s="41" t="inlineStr">
        <is>
          <t>高</t>
        </is>
      </c>
      <c r="C53" s="41" t="inlineStr">
        <is>
          <t>该功能在系统中有一样的功能模块反复出现，代码复用程度高</t>
        </is>
      </c>
      <c r="D53" s="107">
        <f>1/3</f>
        <v/>
      </c>
      <c r="E53" s="25" t="n"/>
    </row>
    <row r="54">
      <c r="B54" s="41" t="inlineStr">
        <is>
          <t>中</t>
        </is>
      </c>
      <c r="C54" s="41" t="inlineStr">
        <is>
          <t>该功能在系统中有一样的功能模块少量重复，代码复用程度中等</t>
        </is>
      </c>
      <c r="D54" s="107">
        <f>2/3</f>
        <v/>
      </c>
      <c r="E54" s="25" t="n"/>
    </row>
    <row r="55">
      <c r="B55" s="41" t="inlineStr">
        <is>
          <t>低</t>
        </is>
      </c>
      <c r="C55" s="41" t="inlineStr">
        <is>
          <t>该功能在系统中没有其它功能模块能够利旧，代码复用程度低</t>
        </is>
      </c>
      <c r="D55" s="107">
        <f>1/1</f>
        <v/>
      </c>
      <c r="E55" s="25" t="n"/>
    </row>
    <row r="56">
      <c r="D56" s="25" t="n"/>
      <c r="E56" s="25" t="n"/>
    </row>
    <row r="57" ht="15" customHeight="1" s="91">
      <c r="B57" s="46" t="inlineStr">
        <is>
          <t>修改类型调整系数</t>
        </is>
      </c>
      <c r="C57" s="92" t="n"/>
      <c r="D57" s="46" t="inlineStr">
        <is>
          <t>取值</t>
        </is>
      </c>
      <c r="E57" s="25" t="n"/>
    </row>
    <row r="58">
      <c r="B58" s="41" t="inlineStr">
        <is>
          <t>新增</t>
        </is>
      </c>
      <c r="C58" s="41" t="inlineStr">
        <is>
          <t>本期项目新增的功能模块</t>
        </is>
      </c>
      <c r="D58" s="107">
        <f>1/1</f>
        <v/>
      </c>
      <c r="E58" s="50" t="inlineStr">
        <is>
          <t>最新软件评估行业颁布的基准数据</t>
        </is>
      </c>
    </row>
    <row r="59">
      <c r="B59" s="41" t="inlineStr">
        <is>
          <t>修改</t>
        </is>
      </c>
      <c r="C59" s="41" t="inlineStr">
        <is>
          <t>修改往期项目的功能模块</t>
        </is>
      </c>
      <c r="D59" s="107" t="n">
        <v>0.8</v>
      </c>
      <c r="E59" s="50" t="inlineStr">
        <is>
          <t>最新软件评估行业颁布的基准数据</t>
        </is>
      </c>
    </row>
    <row r="60">
      <c r="B60" s="41" t="inlineStr">
        <is>
          <t>删除</t>
        </is>
      </c>
      <c r="C60" s="41" t="inlineStr">
        <is>
          <t>删除往期项目的功能模块</t>
        </is>
      </c>
      <c r="D60" s="107" t="n">
        <v>0.2</v>
      </c>
      <c r="E60" s="50" t="inlineStr">
        <is>
          <t>最新软件评估行业颁布的基准数据</t>
        </is>
      </c>
    </row>
    <row r="61">
      <c r="D61" s="25" t="n"/>
      <c r="E61" s="25" t="n"/>
    </row>
    <row r="62" ht="15" customHeight="1" s="91">
      <c r="B62" s="46" t="inlineStr">
        <is>
          <t>软件开发计价模型</t>
        </is>
      </c>
      <c r="C62" s="92" t="n"/>
      <c r="D62" s="46" t="inlineStr">
        <is>
          <t>取值</t>
        </is>
      </c>
      <c r="E62" s="25" t="n"/>
    </row>
    <row r="63" customFormat="1" s="23">
      <c r="A63" s="47" t="n"/>
      <c r="B63" s="41" t="inlineStr">
        <is>
          <t>ILF</t>
        </is>
      </c>
      <c r="C63" s="41" t="inlineStr">
        <is>
          <t>ILF为内部逻辑文件数量</t>
        </is>
      </c>
      <c r="D63" s="109" t="n">
        <v>7</v>
      </c>
      <c r="E63" s="50" t="inlineStr">
        <is>
          <t>国标</t>
        </is>
      </c>
    </row>
    <row r="64" customFormat="1" s="23">
      <c r="A64" s="47" t="n"/>
      <c r="B64" s="41" t="inlineStr">
        <is>
          <t>EIF</t>
        </is>
      </c>
      <c r="C64" s="41" t="inlineStr">
        <is>
          <t>EIF为外部接口文件数量</t>
        </is>
      </c>
      <c r="D64" s="109" t="n">
        <v>5</v>
      </c>
      <c r="E64" s="50" t="inlineStr">
        <is>
          <t>国标</t>
        </is>
      </c>
    </row>
    <row r="65" customFormat="1" s="23">
      <c r="A65" s="47" t="n"/>
      <c r="B65" s="41" t="inlineStr">
        <is>
          <t>EI</t>
        </is>
      </c>
      <c r="C65" s="41" t="inlineStr">
        <is>
          <t>EI为外部输入数量</t>
        </is>
      </c>
      <c r="D65" s="109" t="n">
        <v>4</v>
      </c>
      <c r="E65" s="50" t="inlineStr">
        <is>
          <t>国标</t>
        </is>
      </c>
    </row>
    <row r="66" customFormat="1" s="23">
      <c r="A66" s="47" t="n"/>
      <c r="B66" s="41" t="inlineStr">
        <is>
          <t>EO</t>
        </is>
      </c>
      <c r="C66" s="41" t="inlineStr">
        <is>
          <t>EO为外部输出数量</t>
        </is>
      </c>
      <c r="D66" s="109" t="n">
        <v>5</v>
      </c>
      <c r="E66" s="50" t="inlineStr">
        <is>
          <t>国标</t>
        </is>
      </c>
    </row>
    <row r="67" customFormat="1" s="23">
      <c r="A67" s="47" t="n"/>
      <c r="B67" s="41" t="inlineStr">
        <is>
          <t>EQ</t>
        </is>
      </c>
      <c r="C67" s="41" t="inlineStr">
        <is>
          <t>EQ为外部查询数量</t>
        </is>
      </c>
      <c r="D67" s="109" t="n">
        <v>4</v>
      </c>
      <c r="E67" s="50" t="inlineStr">
        <is>
          <t>国标</t>
        </is>
      </c>
    </row>
    <row r="68">
      <c r="E68" s="25" t="n"/>
    </row>
    <row r="69">
      <c r="E69" s="25" t="n"/>
    </row>
    <row r="70">
      <c r="E70" s="25" t="n"/>
    </row>
    <row r="71">
      <c r="E71" s="25" t="n"/>
    </row>
    <row r="72">
      <c r="E72" s="25" t="n"/>
    </row>
    <row r="73">
      <c r="E73" s="25" t="n"/>
    </row>
    <row r="74">
      <c r="E74" s="25" t="n"/>
    </row>
    <row r="92">
      <c r="D92" s="25" t="n"/>
    </row>
    <row r="93">
      <c r="D93" s="25" t="n"/>
    </row>
    <row r="94">
      <c r="D94" s="25" t="n"/>
    </row>
    <row r="95">
      <c r="D95" s="25" t="n"/>
    </row>
    <row r="96">
      <c r="D96" s="25" t="n"/>
    </row>
    <row r="97">
      <c r="D97" s="25" t="n"/>
    </row>
  </sheetData>
  <mergeCells count="22">
    <mergeCell ref="B47:C47"/>
    <mergeCell ref="B62:C62"/>
    <mergeCell ref="B43:C43"/>
    <mergeCell ref="B52:C52"/>
    <mergeCell ref="B48:C48"/>
    <mergeCell ref="B42:C42"/>
    <mergeCell ref="B25:B27"/>
    <mergeCell ref="B57:C57"/>
    <mergeCell ref="A3:B3"/>
    <mergeCell ref="B22:B24"/>
    <mergeCell ref="A1:D1"/>
    <mergeCell ref="B31:B33"/>
    <mergeCell ref="B44:C44"/>
    <mergeCell ref="A2:B2"/>
    <mergeCell ref="B35:D35"/>
    <mergeCell ref="A8:B8"/>
    <mergeCell ref="B49:C49"/>
    <mergeCell ref="A4:A7"/>
    <mergeCell ref="B45:C45"/>
    <mergeCell ref="B50:C50"/>
    <mergeCell ref="A9:B9"/>
    <mergeCell ref="B28:B30"/>
  </mergeCells>
  <dataValidations count="9">
    <dataValidation sqref="C2" showDropDown="0" showInputMessage="1" showErrorMessage="1" allowBlank="1" type="list">
      <formula1>$B$36:$B$39</formula1>
    </dataValidation>
    <dataValidation sqref="C3" showDropDown="0" showInputMessage="1" showErrorMessage="1" allowBlank="1" type="list">
      <formula1>$B$12:$B$19</formula1>
    </dataValidation>
    <dataValidation sqref="C4" showDropDown="0" showInputMessage="1" showErrorMessage="1" allowBlank="1" type="list">
      <formula1>$C$22:$C$24</formula1>
    </dataValidation>
    <dataValidation sqref="C5" showDropDown="0" showInputMessage="1" showErrorMessage="1" allowBlank="1" type="list">
      <formula1>$C$25:$C$27</formula1>
    </dataValidation>
    <dataValidation sqref="B40 C6 C10 C34 C41 C46 C51 C56 C61" showDropDown="0" showInputMessage="1" showErrorMessage="1" allowBlank="1" type="list">
      <formula1>$C$28:$C$30</formula1>
    </dataValidation>
    <dataValidation sqref="C7" showDropDown="0" showInputMessage="1" showErrorMessage="1" allowBlank="1" type="list">
      <formula1>$C$31:$C$33</formula1>
    </dataValidation>
    <dataValidation sqref="C8" showDropDown="0" showInputMessage="1" showErrorMessage="1" allowBlank="1" type="list">
      <formula1>$B$43:$B$45</formula1>
    </dataValidation>
    <dataValidation sqref="C9" showDropDown="0" showInputMessage="1" showErrorMessage="1" allowBlank="1" type="list">
      <formula1>$B$48:$B$50</formula1>
    </dataValidation>
    <dataValidation sqref="B43:C43" showDropDown="0" showInputMessage="1" showErrorMessage="1" allowBlank="1" type="list">
      <formula1>$B$43</formula1>
    </dataValidation>
  </dataValidations>
  <printOptions horizontalCentered="1"/>
  <pageMargins left="0.7086614173228351" right="0.7086614173228351" top="0.748031496062992" bottom="0.748031496062992" header="0.31496062992126" footer="0.31496062992126"/>
  <pageSetup orientation="landscape" paperSize="9"/>
</worksheet>
</file>

<file path=xl/worksheets/sheet4.xml><?xml version="1.0" encoding="utf-8"?>
<worksheet xmlns="http://schemas.openxmlformats.org/spreadsheetml/2006/main">
  <sheetPr codeName="Sheet4">
    <tabColor rgb="FFFF0000"/>
    <outlinePr summaryBelow="1" summaryRight="1"/>
    <pageSetUpPr/>
  </sheetPr>
  <dimension ref="A1:J13"/>
  <sheetViews>
    <sheetView workbookViewId="0">
      <selection activeCell="F22" sqref="F22"/>
    </sheetView>
  </sheetViews>
  <sheetFormatPr baseColWidth="8" defaultColWidth="9" defaultRowHeight="16.8"/>
  <cols>
    <col width="8.66346153846154" customWidth="1" style="91" min="1" max="1"/>
    <col width="22.3365384615385" customWidth="1" style="91" min="2" max="2"/>
    <col width="12" customWidth="1" style="91" min="3" max="3"/>
    <col width="37.4423076923077" customWidth="1" style="91" min="4" max="4"/>
    <col width="12" customWidth="1" style="91" min="5" max="5"/>
  </cols>
  <sheetData>
    <row r="1" ht="40.05" customHeight="1" s="91">
      <c r="A1" s="1" t="inlineStr">
        <is>
          <t>3.评估结果表</t>
        </is>
      </c>
      <c r="E1" s="19" t="n"/>
      <c r="F1" s="19" t="n"/>
      <c r="G1" s="19" t="n"/>
      <c r="H1" s="19" t="n"/>
      <c r="I1" s="19" t="n"/>
      <c r="J1" s="19" t="n"/>
    </row>
    <row r="2">
      <c r="G2" s="20" t="n"/>
      <c r="H2" s="20" t="n"/>
    </row>
    <row r="3" ht="16.05" customHeight="1" s="91">
      <c r="A3" s="2" t="n"/>
      <c r="B3" s="92" t="n"/>
      <c r="C3" s="2" t="inlineStr">
        <is>
          <t>数值</t>
        </is>
      </c>
      <c r="D3" s="2" t="inlineStr">
        <is>
          <t>说明</t>
        </is>
      </c>
    </row>
    <row r="4" ht="15" customHeight="1" s="91">
      <c r="A4" s="3" t="inlineStr">
        <is>
          <t>规模估算结果（单位：功能点）</t>
        </is>
      </c>
      <c r="B4" s="92" t="n"/>
      <c r="C4" s="110">
        <f>'2. 规模估算'!C5</f>
        <v/>
      </c>
      <c r="D4" s="5" t="inlineStr">
        <is>
          <t>AFP</t>
        </is>
      </c>
    </row>
    <row r="5" ht="15" customHeight="1" s="91">
      <c r="A5" s="3" t="inlineStr">
        <is>
          <t>规模变更调整因子</t>
        </is>
      </c>
      <c r="B5" s="92" t="n"/>
      <c r="C5" s="111">
        <f>'3. 调整因子'!D2</f>
        <v/>
      </c>
      <c r="D5" s="5" t="inlineStr">
        <is>
          <t>CF，项目阶段</t>
        </is>
      </c>
    </row>
    <row r="6" ht="15" customHeight="1" s="91">
      <c r="A6" s="7" t="inlineStr">
        <is>
          <t>调整后规模（单位：功能点）</t>
        </is>
      </c>
      <c r="B6" s="92" t="n"/>
      <c r="C6" s="112">
        <f>C4*C5</f>
        <v/>
      </c>
      <c r="D6" s="5" t="inlineStr">
        <is>
          <t>S，等于AFP*CF</t>
        </is>
      </c>
      <c r="G6" s="21" t="n"/>
    </row>
    <row r="7" ht="15" customHeight="1" s="91">
      <c r="A7" s="3" t="inlineStr">
        <is>
          <t>基准生产率（单位：人时/功能点）</t>
        </is>
      </c>
      <c r="B7" s="92" t="n"/>
      <c r="C7" s="113" t="n">
        <v>10.12</v>
      </c>
      <c r="D7" s="12" t="inlineStr">
        <is>
          <t>PDR，来自《2024年软件行业基准数据》</t>
        </is>
      </c>
      <c r="E7" s="22" t="n"/>
      <c r="F7" s="22" t="n"/>
      <c r="G7" s="21" t="n"/>
    </row>
    <row r="8" ht="15" customHeight="1" s="91">
      <c r="A8" s="7" t="inlineStr">
        <is>
          <t>未调整工作量（单位：人天）</t>
        </is>
      </c>
      <c r="B8" s="92" t="n"/>
      <c r="C8" s="111">
        <f>C6*C7/8</f>
        <v/>
      </c>
      <c r="D8" s="5" t="inlineStr">
        <is>
          <t>S*PDR/8h</t>
        </is>
      </c>
    </row>
    <row r="9" ht="15" customHeight="1" s="91">
      <c r="A9" s="15" t="inlineStr">
        <is>
          <t>调整因子</t>
        </is>
      </c>
      <c r="B9" s="3" t="inlineStr">
        <is>
          <t>应用类型</t>
        </is>
      </c>
      <c r="C9" s="114">
        <f>'3. 调整因子'!D3</f>
        <v/>
      </c>
      <c r="D9" s="17" t="inlineStr">
        <is>
          <t>A,应用类型调整因子</t>
        </is>
      </c>
    </row>
    <row r="10" ht="15" customHeight="1" s="91">
      <c r="A10" s="103" t="n"/>
      <c r="B10" s="3" t="inlineStr">
        <is>
          <t>质量特性</t>
        </is>
      </c>
      <c r="C10" s="114">
        <f>1+0.025*SUM('3. 调整因子'!D4:D7)</f>
        <v/>
      </c>
      <c r="D10" s="17" t="inlineStr">
        <is>
          <t>B,质量特性调整因子</t>
        </is>
      </c>
    </row>
    <row r="11" ht="15" customHeight="1" s="91">
      <c r="A11" s="103" t="n"/>
      <c r="B11" s="3" t="inlineStr">
        <is>
          <t>开发语言</t>
        </is>
      </c>
      <c r="C11" s="114">
        <f>'3. 调整因子'!D8</f>
        <v/>
      </c>
      <c r="D11" s="17" t="inlineStr">
        <is>
          <t>C,开发语言调整因子</t>
        </is>
      </c>
    </row>
    <row r="12" ht="15" customHeight="1" s="91">
      <c r="A12" s="104" t="n"/>
      <c r="B12" s="3" t="inlineStr">
        <is>
          <t>开发团队背景</t>
        </is>
      </c>
      <c r="C12" s="114">
        <f>'3. 调整因子'!D9</f>
        <v/>
      </c>
      <c r="D12" s="17" t="inlineStr">
        <is>
          <t>D,开发团队背景调整因子</t>
        </is>
      </c>
    </row>
    <row r="13" ht="15" customHeight="1" s="91">
      <c r="A13" s="7" t="inlineStr">
        <is>
          <t>调整后工作量（单位：人天）</t>
        </is>
      </c>
      <c r="B13" s="92" t="n"/>
      <c r="C13" s="115">
        <f>C8*C9*C10*C11*C12</f>
        <v/>
      </c>
      <c r="D13" s="5" t="inlineStr">
        <is>
          <t>AE,S*PDR/8h*A*B*C*D</t>
        </is>
      </c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9">
    <mergeCell ref="A4:B4"/>
    <mergeCell ref="A1:D1"/>
    <mergeCell ref="A9:A12"/>
    <mergeCell ref="A7:B7"/>
    <mergeCell ref="A5:B5"/>
    <mergeCell ref="A13:B13"/>
    <mergeCell ref="A8:B8"/>
    <mergeCell ref="A3:B3"/>
    <mergeCell ref="A6:B6"/>
  </mergeCells>
  <printOptions horizontalCentered="1"/>
  <pageMargins left="0.7086614173228351" right="0.7086614173228351" top="0.748031496062992" bottom="0.748031496062992" header="0.31496062992126" footer="0.31496062992126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王海青</dc:creator>
  <dc:title xmlns:dc="http://purl.org/dc/elements/1.1/">国税总局估算工具</dc:title>
  <dc:subject xmlns:dc="http://purl.org/dc/elements/1.1/">工作量评估</dc:subject>
  <dcterms:created xmlns:dcterms="http://purl.org/dc/terms/" xmlns:xsi="http://www.w3.org/2001/XMLSchema-instance" xsi:type="dcterms:W3CDTF">2012-10-15T21:58:00Z</dcterms:created>
  <dcterms:modified xmlns:dcterms="http://purl.org/dc/terms/" xmlns:xsi="http://www.w3.org/2001/XMLSchema-instance" xsi:type="dcterms:W3CDTF">2025-12-11T06:45:19Z</dcterms:modified>
  <cp:lastModifiedBy>Eden子cium</cp:lastModifiedBy>
  <cp:category>计算器</cp:category>
  <cp:lastPrinted>2019-06-14T17:05:00Z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5038D9B28774176C04623A698CB8EF4F_43</vt:lpwstr>
  </property>
  <property name="KSOProductBuildVer" fmtid="{D5CDD505-2E9C-101B-9397-08002B2CF9AE}" pid="3">
    <vt:lpwstr xmlns:vt="http://schemas.openxmlformats.org/officeDocument/2006/docPropsVTypes">2052-12.1.21861.21861</vt:lpwstr>
  </property>
  <property name="KSOReadingLayout" fmtid="{D5CDD505-2E9C-101B-9397-08002B2CF9AE}" pid="4">
    <vt:bool xmlns:vt="http://schemas.openxmlformats.org/officeDocument/2006/docPropsVTypes">1</vt:bool>
  </property>
</Properties>
</file>